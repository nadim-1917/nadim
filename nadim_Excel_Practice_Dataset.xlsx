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_DATA_Analysis\excel\"/>
    </mc:Choice>
  </mc:AlternateContent>
  <xr:revisionPtr revIDLastSave="0" documentId="13_ncr:1_{056EAD4D-FE70-4579-B67F-743EFC107536}" xr6:coauthVersionLast="47" xr6:coauthVersionMax="47" xr10:uidLastSave="{00000000-0000-0000-0000-000000000000}"/>
  <bookViews>
    <workbookView xWindow="-108" yWindow="-108" windowWidth="23256" windowHeight="12456" firstSheet="19" activeTab="29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heet8" sheetId="10" r:id="rId8"/>
    <sheet name="Sheet9" sheetId="11" r:id="rId9"/>
    <sheet name="Sheet10" sheetId="12" r:id="rId10"/>
    <sheet name="Sheet11" sheetId="13" r:id="rId11"/>
    <sheet name="Sheet12" sheetId="14" r:id="rId12"/>
    <sheet name="Sheet13" sheetId="15" r:id="rId13"/>
    <sheet name="Sheet14" sheetId="16" r:id="rId14"/>
    <sheet name="Sheet15" sheetId="17" r:id="rId15"/>
    <sheet name="Sheet16" sheetId="18" r:id="rId16"/>
    <sheet name="Sheet17" sheetId="19" r:id="rId17"/>
    <sheet name="Sheet18" sheetId="20" r:id="rId18"/>
    <sheet name="Sheet19" sheetId="21" r:id="rId19"/>
    <sheet name="Sheet20" sheetId="22" r:id="rId20"/>
    <sheet name="Sheet21" sheetId="23" r:id="rId21"/>
    <sheet name="Sheet22" sheetId="24" r:id="rId22"/>
    <sheet name="Sheet23" sheetId="25" r:id="rId23"/>
    <sheet name="Sheet24" sheetId="26" r:id="rId24"/>
    <sheet name="Sheet25" sheetId="27" r:id="rId25"/>
    <sheet name="Sheet26" sheetId="28" r:id="rId26"/>
    <sheet name="Sheet27" sheetId="29" r:id="rId27"/>
    <sheet name="Sheet28" sheetId="30" r:id="rId28"/>
    <sheet name="Sheet29" sheetId="31" r:id="rId29"/>
    <sheet name="Sheet30" sheetId="32" r:id="rId30"/>
    <sheet name="Orders" sheetId="1" r:id="rId31"/>
    <sheet name="Customers" sheetId="2" r:id="rId32"/>
  </sheets>
  <definedNames>
    <definedName name="_xlnm._FilterDatabase" localSheetId="30" hidden="1">Orders!$A$1:$I$1</definedName>
    <definedName name="_xlnm._FilterDatabase" localSheetId="0" hidden="1">Sheet1!$A$1:$B$1</definedName>
    <definedName name="_xlnm._FilterDatabase" localSheetId="1" hidden="1">Sheet2!$B$1:$C$1</definedName>
    <definedName name="_xlnm._FilterDatabase" localSheetId="20" hidden="1">Sheet21!$A$1:$C$1</definedName>
    <definedName name="_xlnm._FilterDatabase" localSheetId="21" hidden="1">Sheet22!$A$1:$D$101</definedName>
    <definedName name="_xlnm._FilterDatabase" localSheetId="2" hidden="1">Sheet3!$A$1:$B$112</definedName>
    <definedName name="_xlnm._FilterDatabase" localSheetId="3" hidden="1">Sheet4!$A$1:$B$1</definedName>
    <definedName name="_xlnm._FilterDatabase" localSheetId="4" hidden="1">Sheet5!$A$1:$B$1</definedName>
    <definedName name="_xlnm._FilterDatabase" localSheetId="5" hidden="1">Sheet6!$A$1:$B$1</definedName>
    <definedName name="_xlnm._FilterDatabase" localSheetId="6" hidden="1">Sheet7!$A$1:$C$1</definedName>
    <definedName name="_xlnm._FilterDatabase" localSheetId="7" hidden="1">Sheet8!$A$1:$B$1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8" l="1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2" i="18"/>
  <c r="C2" i="16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2" i="12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2" i="11"/>
  <c r="F106" i="10"/>
  <c r="F70" i="10"/>
  <c r="F31" i="10"/>
  <c r="F111" i="10" s="1"/>
  <c r="B107" i="10"/>
  <c r="B71" i="10"/>
  <c r="B32" i="10"/>
  <c r="B109" i="10" s="1"/>
  <c r="C104" i="9"/>
  <c r="B104" i="9"/>
  <c r="C69" i="9"/>
  <c r="B69" i="9"/>
  <c r="C31" i="9"/>
  <c r="C105" i="9" s="1"/>
  <c r="B31" i="9"/>
  <c r="B105" i="9" s="1"/>
  <c r="B109" i="8"/>
  <c r="B95" i="8"/>
  <c r="B81" i="8"/>
  <c r="B68" i="8"/>
  <c r="B56" i="8"/>
  <c r="B42" i="8"/>
  <c r="B21" i="8"/>
  <c r="B15" i="8"/>
  <c r="B110" i="8" s="1"/>
  <c r="B104" i="7"/>
  <c r="B69" i="7"/>
  <c r="B31" i="7"/>
  <c r="B106" i="6"/>
  <c r="B105" i="6"/>
  <c r="F5" i="6" s="1"/>
  <c r="E5" i="6"/>
  <c r="E4" i="6"/>
  <c r="E3" i="6"/>
  <c r="E2" i="6"/>
  <c r="F4" i="6"/>
  <c r="F3" i="6"/>
  <c r="F2" i="6"/>
  <c r="B78" i="6"/>
  <c r="B50" i="6"/>
  <c r="B24" i="6"/>
  <c r="B113" i="5"/>
  <c r="B108" i="5"/>
  <c r="B96" i="5"/>
  <c r="B90" i="5"/>
  <c r="B81" i="5"/>
  <c r="B70" i="5"/>
  <c r="B59" i="5"/>
  <c r="B52" i="5"/>
  <c r="B43" i="5"/>
  <c r="B34" i="5"/>
  <c r="B26" i="5"/>
  <c r="B15" i="5"/>
  <c r="C109" i="4"/>
  <c r="B109" i="4"/>
  <c r="C95" i="4"/>
  <c r="B95" i="4"/>
  <c r="C81" i="4"/>
  <c r="B81" i="4"/>
  <c r="C68" i="4"/>
  <c r="B68" i="4"/>
  <c r="C56" i="4"/>
  <c r="B56" i="4"/>
  <c r="C42" i="4"/>
  <c r="B42" i="4"/>
  <c r="C21" i="4"/>
  <c r="B21" i="4"/>
  <c r="C15" i="4"/>
  <c r="B15" i="4"/>
  <c r="G4" i="3"/>
  <c r="G3" i="3"/>
  <c r="G2" i="3"/>
  <c r="E6" i="3"/>
  <c r="E4" i="3"/>
  <c r="E3" i="3"/>
  <c r="E2" i="3"/>
  <c r="B105" i="7" l="1"/>
  <c r="B114" i="5"/>
  <c r="D7" i="5" s="1"/>
  <c r="E3" i="5"/>
  <c r="B110" i="4"/>
  <c r="C110" i="4"/>
  <c r="F26" i="5" l="1"/>
</calcChain>
</file>

<file path=xl/sharedStrings.xml><?xml version="1.0" encoding="utf-8"?>
<sst xmlns="http://schemas.openxmlformats.org/spreadsheetml/2006/main" count="2687" uniqueCount="262">
  <si>
    <t>Order_ID</t>
  </si>
  <si>
    <t>Order_Date</t>
  </si>
  <si>
    <t>Customer_ID</t>
  </si>
  <si>
    <t>Customer_Name</t>
  </si>
  <si>
    <t>Category</t>
  </si>
  <si>
    <t>Product</t>
  </si>
  <si>
    <t>Region</t>
  </si>
  <si>
    <t>Sales</t>
  </si>
  <si>
    <t>Quantity</t>
  </si>
  <si>
    <t>O001</t>
  </si>
  <si>
    <t>C002</t>
  </si>
  <si>
    <t>Neha Patel</t>
  </si>
  <si>
    <t>Technology</t>
  </si>
  <si>
    <t>Keyboard</t>
  </si>
  <si>
    <t>South</t>
  </si>
  <si>
    <t>O002</t>
  </si>
  <si>
    <t>Office Supplies</t>
  </si>
  <si>
    <t>Storage Box</t>
  </si>
  <si>
    <t>North</t>
  </si>
  <si>
    <t>O003</t>
  </si>
  <si>
    <t>C004</t>
  </si>
  <si>
    <t>Priya Singh</t>
  </si>
  <si>
    <t>Paper</t>
  </si>
  <si>
    <t>O004</t>
  </si>
  <si>
    <t>C007</t>
  </si>
  <si>
    <t>Vikas Gupta</t>
  </si>
  <si>
    <t>Monitor</t>
  </si>
  <si>
    <t>East</t>
  </si>
  <si>
    <t>O005</t>
  </si>
  <si>
    <t>Furniture</t>
  </si>
  <si>
    <t>Bookcase</t>
  </si>
  <si>
    <t>O006</t>
  </si>
  <si>
    <t>Chair</t>
  </si>
  <si>
    <t>O007</t>
  </si>
  <si>
    <t>C001</t>
  </si>
  <si>
    <t>Amit Shah</t>
  </si>
  <si>
    <t>O008</t>
  </si>
  <si>
    <t>C005</t>
  </si>
  <si>
    <t>Karan Mehta</t>
  </si>
  <si>
    <t>Binder</t>
  </si>
  <si>
    <t>O009</t>
  </si>
  <si>
    <t>Pen</t>
  </si>
  <si>
    <t>O010</t>
  </si>
  <si>
    <t>O011</t>
  </si>
  <si>
    <t>C006</t>
  </si>
  <si>
    <t>Sneha Jain</t>
  </si>
  <si>
    <t>O012</t>
  </si>
  <si>
    <t>O013</t>
  </si>
  <si>
    <t>O014</t>
  </si>
  <si>
    <t>O015</t>
  </si>
  <si>
    <t>West</t>
  </si>
  <si>
    <t>O016</t>
  </si>
  <si>
    <t>C003</t>
  </si>
  <si>
    <t>Rahul Verma</t>
  </si>
  <si>
    <t>O017</t>
  </si>
  <si>
    <t>Mouse</t>
  </si>
  <si>
    <t>O018</t>
  </si>
  <si>
    <t>O019</t>
  </si>
  <si>
    <t>Desk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</si>
  <si>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</si>
  <si>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</si>
  <si>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</si>
  <si>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</si>
  <si>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</si>
  <si>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</si>
  <si>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</si>
  <si>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</si>
  <si>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</si>
  <si>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C008</t>
  </si>
  <si>
    <t>Riya Sharma</t>
  </si>
  <si>
    <t>O029</t>
  </si>
  <si>
    <t>O030</t>
  </si>
  <si>
    <t>Laptop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</si>
  <si>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</si>
  <si>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</si>
  <si>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</si>
  <si>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</si>
  <si>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</si>
  <si>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</si>
  <si>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</si>
  <si>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</si>
  <si>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</si>
  <si>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</si>
  <si>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</si>
  <si>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</si>
  <si>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</si>
  <si>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</si>
  <si>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</si>
  <si>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</si>
  <si>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</si>
  <si>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</si>
  <si>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</si>
  <si>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</si>
  <si>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</si>
  <si>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</si>
  <si>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</si>
  <si>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</si>
  <si>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</si>
  <si>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</si>
  <si>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</si>
  <si>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</si>
  <si>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</si>
  <si>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</si>
  <si>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</si>
  <si>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</si>
  <si>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</si>
  <si>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</si>
  <si>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</si>
  <si>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</si>
  <si>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</si>
  <si>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</si>
  <si>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</si>
  <si>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</si>
  <si>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</si>
  <si>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</si>
  <si>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</si>
  <si>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</si>
  <si>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</si>
  <si>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</si>
  <si>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</si>
  <si>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</si>
  <si>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</si>
  <si>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</si>
  <si>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</si>
  <si>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Table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</si>
  <si>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</si>
  <si>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</si>
  <si>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</si>
  <si>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</si>
  <si>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</si>
  <si>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</si>
  <si>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</si>
  <si>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</si>
  <si>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</si>
  <si>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</si>
  <si>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</si>
  <si>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</si>
  <si>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</si>
  <si>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</si>
  <si>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</si>
  <si>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</si>
  <si>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</si>
  <si>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</si>
  <si>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</si>
  <si>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City</t>
  </si>
  <si>
    <t>Segment</t>
  </si>
  <si>
    <t>Ahmedabad</t>
  </si>
  <si>
    <t>Consumer</t>
  </si>
  <si>
    <t>Mumbai</t>
  </si>
  <si>
    <t>Corporate</t>
  </si>
  <si>
    <t>Delhi</t>
  </si>
  <si>
    <t>Pune</t>
  </si>
  <si>
    <t>Home Office</t>
  </si>
  <si>
    <t>Surat</t>
  </si>
  <si>
    <t>Jaipur</t>
  </si>
  <si>
    <t>Indore</t>
  </si>
  <si>
    <t>Vadodara</t>
  </si>
  <si>
    <t>office supplies</t>
  </si>
  <si>
    <t>technology</t>
  </si>
  <si>
    <t>furniture</t>
  </si>
  <si>
    <t>average</t>
  </si>
  <si>
    <t>Find the total sales generated by each category and show only categories whose sales exceed the overall average category sales.</t>
  </si>
  <si>
    <t>Identify the top 3 customers based on total sales.</t>
  </si>
  <si>
    <t>Amit Shah Count</t>
  </si>
  <si>
    <t>Karan Mehta Count</t>
  </si>
  <si>
    <t>Neha Patel Count</t>
  </si>
  <si>
    <t>Priya Singh Count</t>
  </si>
  <si>
    <t>Rahul Verma Count</t>
  </si>
  <si>
    <t>Riya Sharma Count</t>
  </si>
  <si>
    <t>Sneha Jain Count</t>
  </si>
  <si>
    <t>Vikas Gupta Count</t>
  </si>
  <si>
    <t>Grand Count</t>
  </si>
  <si>
    <t>Amit Shah Total</t>
  </si>
  <si>
    <t>Karan Mehta Total</t>
  </si>
  <si>
    <t>Neha Patel Total</t>
  </si>
  <si>
    <t>Priya Singh Total</t>
  </si>
  <si>
    <t>Rahul Verma Total</t>
  </si>
  <si>
    <t>Riya Sharma Total</t>
  </si>
  <si>
    <t>Sneha Jain Total</t>
  </si>
  <si>
    <t>Vikas Gupta Total</t>
  </si>
  <si>
    <t>Grand Total</t>
  </si>
  <si>
    <t>Find products whose average sales are higher than the overall average sales.</t>
  </si>
  <si>
    <t>Binder Average</t>
  </si>
  <si>
    <t>Bookcase Average</t>
  </si>
  <si>
    <t>Chair Average</t>
  </si>
  <si>
    <t>Desk Average</t>
  </si>
  <si>
    <t>Keyboard Average</t>
  </si>
  <si>
    <t>Laptop Average</t>
  </si>
  <si>
    <t>Monitor Average</t>
  </si>
  <si>
    <t>Mouse Average</t>
  </si>
  <si>
    <t>Paper Average</t>
  </si>
  <si>
    <t>Pen Average</t>
  </si>
  <si>
    <t>Storage Box Average</t>
  </si>
  <si>
    <t>Table Average</t>
  </si>
  <si>
    <t>Grand Average</t>
  </si>
  <si>
    <t>East Total</t>
  </si>
  <si>
    <t>North Total</t>
  </si>
  <si>
    <t>South Total</t>
  </si>
  <si>
    <t>West Total</t>
  </si>
  <si>
    <t>east</t>
  </si>
  <si>
    <t>north</t>
  </si>
  <si>
    <t>south</t>
  </si>
  <si>
    <t>west</t>
  </si>
  <si>
    <t>Find categories where average quantity sold is greater than 5.</t>
  </si>
  <si>
    <t>Furniture Total</t>
  </si>
  <si>
    <t>Office Supplies Total</t>
  </si>
  <si>
    <t>Technology Total</t>
  </si>
  <si>
    <t>Furniture Average</t>
  </si>
  <si>
    <t>Office Supplies Average</t>
  </si>
  <si>
    <t>Technology Average</t>
  </si>
  <si>
    <t>Determine which customer placed the highest number of orders.</t>
  </si>
  <si>
    <t>Find the category with the highest sales per unit sold.</t>
  </si>
  <si>
    <t>Calculate the difference between maximum and minimum sales for each category.</t>
  </si>
  <si>
    <t>Furniture Max</t>
  </si>
  <si>
    <t>Office Supplies Max</t>
  </si>
  <si>
    <t>Technology Max</t>
  </si>
  <si>
    <t>Grand Max</t>
  </si>
  <si>
    <t>Furniture Min</t>
  </si>
  <si>
    <t>Office Supplies Min</t>
  </si>
  <si>
    <t>Technology Min</t>
  </si>
  <si>
    <t>Grand Min</t>
  </si>
  <si>
    <t>Extract the first name and last name into separate columns using formulas (not Text to Columns).</t>
  </si>
  <si>
    <t xml:space="preserve">name </t>
  </si>
  <si>
    <t>surname</t>
  </si>
  <si>
    <t>Create an Employee Code using:</t>
  </si>
  <si>
    <t>First 3 letters of Customer Name</t>
  </si>
  <si>
    <t>Last 2 digits of Customer_ID</t>
  </si>
  <si>
    <t>Example:</t>
  </si>
  <si>
    <t>Rahul Verma + C003 → RAH03</t>
  </si>
  <si>
    <t>emp id</t>
  </si>
  <si>
    <t>Identify customers whose first name contains exactly 5 characters.</t>
  </si>
  <si>
    <t>Generate email IDs using Customer Name.</t>
  </si>
  <si>
    <t>Rahul Verma → rahul.verma@company.com</t>
  </si>
  <si>
    <t>Extract product type from Product names if product descriptions contain multiple words.</t>
  </si>
  <si>
    <t>Find duplicate customer names using Excel functions.</t>
  </si>
  <si>
    <t>Date Functions (Moderate)</t>
  </si>
  <si>
    <t>Calculate how many orders were placed in each quarter.</t>
  </si>
  <si>
    <t>Find the month with the highest sales.</t>
  </si>
  <si>
    <t>Calculate average sales per month.</t>
  </si>
  <si>
    <t>Find customers who placed orders in more than one year.</t>
  </si>
  <si>
    <t>Determine the number of days between consecutive orders.</t>
  </si>
  <si>
    <t>Calculate Month-over-Month sales growth.</t>
  </si>
  <si>
    <t>Filter customers whose sales exceed ₹10,000 and quantity sold is greater than 5.</t>
  </si>
  <si>
    <t>Show only Technology products sold in the North region and sort by Sales descending.</t>
  </si>
  <si>
    <t>Find the top 10 highest-value orders after applying filters.</t>
  </si>
  <si>
    <t>Identify the bottom 10 sales transactions from the Furniture category.</t>
  </si>
  <si>
    <t>Text to Columns</t>
  </si>
  <si>
    <t>Merge Customer_ID and Customer_Name into one field and then separate them back using Text to Columns.</t>
  </si>
  <si>
    <t>Create a column:</t>
  </si>
  <si>
    <t>Technology-North</t>
  </si>
  <si>
    <t>Furniture-West</t>
  </si>
  <si>
    <t>Then split Category and Region into separate columns.</t>
  </si>
  <si>
    <t>Data Validation</t>
  </si>
  <si>
    <t>Create dependent dropdowns:</t>
  </si>
  <si>
    <t>First dropdown = Category</t>
  </si>
  <si>
    <t>Second dropdown = Products belonging to that category</t>
  </si>
  <si>
    <t>Restrict Sales entry between 500 and 25,000 using Data Validation.</t>
  </si>
  <si>
    <t>Using Customer_ID, fetch City and Segment from the Customers sheet and display both in a single formula output.</t>
  </si>
  <si>
    <t>Create a sales summary table where entering a Customer_ID automatically returns:</t>
  </si>
  <si>
    <t>Customer Name</t>
  </si>
  <si>
    <t>Total Sales</t>
  </si>
  <si>
    <t>(using VLOOKUP/XLOOKUP + aggregation formulas)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</si>
</sst>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07C2-49AF-4544-9F95-6FC35A5F201C}">
  <dimension ref="A1:I101"/>
  <sheetViews>
    <sheetView workbookViewId="0">
      <selection activeCell="J6" sqref="J6"/>
    </sheetView>
  </sheetViews>
  <sheetFormatPr defaultRowHeight="14.4" x14ac:dyDescent="0.3"/>
  <cols>
    <col min="1" max="1" width="13.109375" bestFit="1" customWidth="1"/>
    <col min="4" max="4" width="12.6640625" bestFit="1" customWidth="1"/>
    <col min="7" max="7" width="12.6640625" bestFit="1" customWidth="1"/>
    <col min="9" max="9" width="8.44140625" customWidth="1"/>
  </cols>
  <sheetData>
    <row r="1" spans="1:9" x14ac:dyDescent="0.3">
      <c r="A1" t="s">
        <v>4</v>
      </c>
      <c r="B1" t="s">
        <v>7</v>
      </c>
    </row>
    <row r="2" spans="1:9" x14ac:dyDescent="0.3">
      <c r="A2" t="s">
        <v>12</v>
      </c>
      <c r="B2">
        <v>5072</v>
      </c>
      <c r="D2" t="s">
        <v>158</v>
      </c>
      <c r="E2">
        <f>SUMIFS(B:B,A:A,"technology")</f>
        <v>445787</v>
      </c>
      <c r="G2" t="str">
        <f>IF(E6&lt;E2,D2,"")</f>
        <v>technology</v>
      </c>
      <c r="I2">
        <v>1</v>
      </c>
    </row>
    <row r="3" spans="1:9" x14ac:dyDescent="0.3">
      <c r="A3" t="s">
        <v>16</v>
      </c>
      <c r="B3">
        <v>3570</v>
      </c>
      <c r="D3" t="s">
        <v>157</v>
      </c>
      <c r="E3">
        <f>SUMIFS(B:B,A:A,"office supplies")</f>
        <v>475621</v>
      </c>
      <c r="G3" t="str">
        <f>IF(E6&lt;E3,D3,"")</f>
        <v>office supplies</v>
      </c>
    </row>
    <row r="4" spans="1:9" x14ac:dyDescent="0.3">
      <c r="A4" t="s">
        <v>16</v>
      </c>
      <c r="B4">
        <v>23962</v>
      </c>
      <c r="D4" t="s">
        <v>159</v>
      </c>
      <c r="E4">
        <f>SUMIFS(B:B,A:A,"furniture")</f>
        <v>400900</v>
      </c>
      <c r="G4" t="str">
        <f>IF(E6&lt;E4,D4,"no")</f>
        <v>no</v>
      </c>
      <c r="I4" t="s">
        <v>161</v>
      </c>
    </row>
    <row r="5" spans="1:9" x14ac:dyDescent="0.3">
      <c r="A5" t="s">
        <v>12</v>
      </c>
      <c r="B5">
        <v>712</v>
      </c>
    </row>
    <row r="6" spans="1:9" x14ac:dyDescent="0.3">
      <c r="A6" t="s">
        <v>29</v>
      </c>
      <c r="B6">
        <v>11529</v>
      </c>
      <c r="D6" t="s">
        <v>160</v>
      </c>
      <c r="E6">
        <f>AVERAGE(E2:E4)</f>
        <v>440769.33333333331</v>
      </c>
    </row>
    <row r="7" spans="1:9" x14ac:dyDescent="0.3">
      <c r="A7" t="s">
        <v>29</v>
      </c>
      <c r="B7">
        <v>20282</v>
      </c>
    </row>
    <row r="8" spans="1:9" x14ac:dyDescent="0.3">
      <c r="A8" t="s">
        <v>16</v>
      </c>
      <c r="B8">
        <v>12903</v>
      </c>
    </row>
    <row r="9" spans="1:9" x14ac:dyDescent="0.3">
      <c r="A9" t="s">
        <v>16</v>
      </c>
      <c r="B9">
        <v>23587</v>
      </c>
    </row>
    <row r="10" spans="1:9" x14ac:dyDescent="0.3">
      <c r="A10" t="s">
        <v>16</v>
      </c>
      <c r="B10">
        <v>3114</v>
      </c>
    </row>
    <row r="11" spans="1:9" x14ac:dyDescent="0.3">
      <c r="A11" t="s">
        <v>29</v>
      </c>
      <c r="B11">
        <v>5829</v>
      </c>
    </row>
    <row r="12" spans="1:9" x14ac:dyDescent="0.3">
      <c r="A12" t="s">
        <v>12</v>
      </c>
      <c r="B12">
        <v>20460</v>
      </c>
    </row>
    <row r="13" spans="1:9" x14ac:dyDescent="0.3">
      <c r="A13" t="s">
        <v>12</v>
      </c>
      <c r="B13">
        <v>21471</v>
      </c>
    </row>
    <row r="14" spans="1:9" x14ac:dyDescent="0.3">
      <c r="A14" t="s">
        <v>16</v>
      </c>
      <c r="B14">
        <v>8005</v>
      </c>
    </row>
    <row r="15" spans="1:9" x14ac:dyDescent="0.3">
      <c r="A15" t="s">
        <v>29</v>
      </c>
      <c r="B15">
        <v>19085</v>
      </c>
    </row>
    <row r="16" spans="1:9" x14ac:dyDescent="0.3">
      <c r="A16" t="s">
        <v>16</v>
      </c>
      <c r="B16">
        <v>5181</v>
      </c>
    </row>
    <row r="17" spans="1:2" x14ac:dyDescent="0.3">
      <c r="A17" t="s">
        <v>12</v>
      </c>
      <c r="B17">
        <v>19621</v>
      </c>
    </row>
    <row r="18" spans="1:2" x14ac:dyDescent="0.3">
      <c r="A18" t="s">
        <v>12</v>
      </c>
      <c r="B18">
        <v>3478</v>
      </c>
    </row>
    <row r="19" spans="1:2" x14ac:dyDescent="0.3">
      <c r="A19" t="s">
        <v>12</v>
      </c>
      <c r="B19">
        <v>20043</v>
      </c>
    </row>
    <row r="20" spans="1:2" x14ac:dyDescent="0.3">
      <c r="A20" t="s">
        <v>29</v>
      </c>
      <c r="B20">
        <v>18628</v>
      </c>
    </row>
    <row r="21" spans="1:2" x14ac:dyDescent="0.3">
      <c r="A21" t="s">
        <v>16</v>
      </c>
      <c r="B21">
        <v>4155</v>
      </c>
    </row>
    <row r="22" spans="1:2" x14ac:dyDescent="0.3">
      <c r="A22" t="s">
        <v>12</v>
      </c>
      <c r="B22">
        <v>16903</v>
      </c>
    </row>
    <row r="23" spans="1:2" x14ac:dyDescent="0.3">
      <c r="A23" t="s">
        <v>16</v>
      </c>
      <c r="B23">
        <v>5508</v>
      </c>
    </row>
    <row r="24" spans="1:2" x14ac:dyDescent="0.3">
      <c r="A24" t="s">
        <v>16</v>
      </c>
      <c r="B24">
        <v>16510</v>
      </c>
    </row>
    <row r="25" spans="1:2" x14ac:dyDescent="0.3">
      <c r="A25" t="s">
        <v>29</v>
      </c>
      <c r="B25">
        <v>8392</v>
      </c>
    </row>
    <row r="26" spans="1:2" x14ac:dyDescent="0.3">
      <c r="A26" t="s">
        <v>12</v>
      </c>
      <c r="B26">
        <v>17955</v>
      </c>
    </row>
    <row r="27" spans="1:2" x14ac:dyDescent="0.3">
      <c r="A27" t="s">
        <v>16</v>
      </c>
      <c r="B27">
        <v>9185</v>
      </c>
    </row>
    <row r="28" spans="1:2" x14ac:dyDescent="0.3">
      <c r="A28" t="s">
        <v>12</v>
      </c>
      <c r="B28">
        <v>13574</v>
      </c>
    </row>
    <row r="29" spans="1:2" x14ac:dyDescent="0.3">
      <c r="A29" t="s">
        <v>16</v>
      </c>
      <c r="B29">
        <v>7862</v>
      </c>
    </row>
    <row r="30" spans="1:2" x14ac:dyDescent="0.3">
      <c r="A30" t="s">
        <v>12</v>
      </c>
      <c r="B30">
        <v>735</v>
      </c>
    </row>
    <row r="31" spans="1:2" x14ac:dyDescent="0.3">
      <c r="A31" t="s">
        <v>12</v>
      </c>
      <c r="B31">
        <v>11327</v>
      </c>
    </row>
    <row r="32" spans="1:2" x14ac:dyDescent="0.3">
      <c r="A32" t="s">
        <v>29</v>
      </c>
      <c r="B32">
        <v>24202</v>
      </c>
    </row>
    <row r="33" spans="1:2" x14ac:dyDescent="0.3">
      <c r="A33" t="s">
        <v>12</v>
      </c>
      <c r="B33">
        <v>6739</v>
      </c>
    </row>
    <row r="34" spans="1:2" x14ac:dyDescent="0.3">
      <c r="A34" t="s">
        <v>16</v>
      </c>
      <c r="B34">
        <v>13970</v>
      </c>
    </row>
    <row r="35" spans="1:2" x14ac:dyDescent="0.3">
      <c r="A35" t="s">
        <v>16</v>
      </c>
      <c r="B35">
        <v>24362</v>
      </c>
    </row>
    <row r="36" spans="1:2" x14ac:dyDescent="0.3">
      <c r="A36" t="s">
        <v>12</v>
      </c>
      <c r="B36">
        <v>5093</v>
      </c>
    </row>
    <row r="37" spans="1:2" x14ac:dyDescent="0.3">
      <c r="A37" t="s">
        <v>29</v>
      </c>
      <c r="B37">
        <v>15020</v>
      </c>
    </row>
    <row r="38" spans="1:2" x14ac:dyDescent="0.3">
      <c r="A38" t="s">
        <v>12</v>
      </c>
      <c r="B38">
        <v>8245</v>
      </c>
    </row>
    <row r="39" spans="1:2" x14ac:dyDescent="0.3">
      <c r="A39" t="s">
        <v>29</v>
      </c>
      <c r="B39">
        <v>2421</v>
      </c>
    </row>
    <row r="40" spans="1:2" x14ac:dyDescent="0.3">
      <c r="A40" t="s">
        <v>12</v>
      </c>
      <c r="B40">
        <v>9847</v>
      </c>
    </row>
    <row r="41" spans="1:2" x14ac:dyDescent="0.3">
      <c r="A41" t="s">
        <v>12</v>
      </c>
      <c r="B41">
        <v>2416</v>
      </c>
    </row>
    <row r="42" spans="1:2" x14ac:dyDescent="0.3">
      <c r="A42" t="s">
        <v>16</v>
      </c>
      <c r="B42">
        <v>19642</v>
      </c>
    </row>
    <row r="43" spans="1:2" x14ac:dyDescent="0.3">
      <c r="A43" t="s">
        <v>12</v>
      </c>
      <c r="B43">
        <v>2745</v>
      </c>
    </row>
    <row r="44" spans="1:2" x14ac:dyDescent="0.3">
      <c r="A44" t="s">
        <v>16</v>
      </c>
      <c r="B44">
        <v>19167</v>
      </c>
    </row>
    <row r="45" spans="1:2" x14ac:dyDescent="0.3">
      <c r="A45" t="s">
        <v>16</v>
      </c>
      <c r="B45">
        <v>9044</v>
      </c>
    </row>
    <row r="46" spans="1:2" x14ac:dyDescent="0.3">
      <c r="A46" t="s">
        <v>12</v>
      </c>
      <c r="B46">
        <v>22509</v>
      </c>
    </row>
    <row r="47" spans="1:2" x14ac:dyDescent="0.3">
      <c r="A47" t="s">
        <v>29</v>
      </c>
      <c r="B47">
        <v>20854</v>
      </c>
    </row>
    <row r="48" spans="1:2" x14ac:dyDescent="0.3">
      <c r="A48" t="s">
        <v>12</v>
      </c>
      <c r="B48">
        <v>4840</v>
      </c>
    </row>
    <row r="49" spans="1:2" x14ac:dyDescent="0.3">
      <c r="A49" t="s">
        <v>12</v>
      </c>
      <c r="B49">
        <v>14858</v>
      </c>
    </row>
    <row r="50" spans="1:2" x14ac:dyDescent="0.3">
      <c r="A50" t="s">
        <v>16</v>
      </c>
      <c r="B50">
        <v>22237</v>
      </c>
    </row>
    <row r="51" spans="1:2" x14ac:dyDescent="0.3">
      <c r="A51" t="s">
        <v>29</v>
      </c>
      <c r="B51">
        <v>24827</v>
      </c>
    </row>
    <row r="52" spans="1:2" x14ac:dyDescent="0.3">
      <c r="A52" t="s">
        <v>29</v>
      </c>
      <c r="B52">
        <v>24014</v>
      </c>
    </row>
    <row r="53" spans="1:2" x14ac:dyDescent="0.3">
      <c r="A53" t="s">
        <v>16</v>
      </c>
      <c r="B53">
        <v>8728</v>
      </c>
    </row>
    <row r="54" spans="1:2" x14ac:dyDescent="0.3">
      <c r="A54" t="s">
        <v>16</v>
      </c>
      <c r="B54">
        <v>1944</v>
      </c>
    </row>
    <row r="55" spans="1:2" x14ac:dyDescent="0.3">
      <c r="A55" t="s">
        <v>12</v>
      </c>
      <c r="B55">
        <v>18577</v>
      </c>
    </row>
    <row r="56" spans="1:2" x14ac:dyDescent="0.3">
      <c r="A56" t="s">
        <v>12</v>
      </c>
      <c r="B56">
        <v>18377</v>
      </c>
    </row>
    <row r="57" spans="1:2" x14ac:dyDescent="0.3">
      <c r="A57" t="s">
        <v>16</v>
      </c>
      <c r="B57">
        <v>1870</v>
      </c>
    </row>
    <row r="58" spans="1:2" x14ac:dyDescent="0.3">
      <c r="A58" t="s">
        <v>12</v>
      </c>
      <c r="B58">
        <v>22354</v>
      </c>
    </row>
    <row r="59" spans="1:2" x14ac:dyDescent="0.3">
      <c r="A59" t="s">
        <v>16</v>
      </c>
      <c r="B59">
        <v>8257</v>
      </c>
    </row>
    <row r="60" spans="1:2" x14ac:dyDescent="0.3">
      <c r="A60" t="s">
        <v>29</v>
      </c>
      <c r="B60">
        <v>13991</v>
      </c>
    </row>
    <row r="61" spans="1:2" x14ac:dyDescent="0.3">
      <c r="A61" t="s">
        <v>12</v>
      </c>
      <c r="B61">
        <v>15923</v>
      </c>
    </row>
    <row r="62" spans="1:2" x14ac:dyDescent="0.3">
      <c r="A62" t="s">
        <v>29</v>
      </c>
      <c r="B62">
        <v>7804</v>
      </c>
    </row>
    <row r="63" spans="1:2" x14ac:dyDescent="0.3">
      <c r="A63" t="s">
        <v>29</v>
      </c>
      <c r="B63">
        <v>9646</v>
      </c>
    </row>
    <row r="64" spans="1:2" x14ac:dyDescent="0.3">
      <c r="A64" t="s">
        <v>16</v>
      </c>
      <c r="B64">
        <v>4279</v>
      </c>
    </row>
    <row r="65" spans="1:2" x14ac:dyDescent="0.3">
      <c r="A65" t="s">
        <v>16</v>
      </c>
      <c r="B65">
        <v>20048</v>
      </c>
    </row>
    <row r="66" spans="1:2" x14ac:dyDescent="0.3">
      <c r="A66" t="s">
        <v>16</v>
      </c>
      <c r="B66">
        <v>13122</v>
      </c>
    </row>
    <row r="67" spans="1:2" x14ac:dyDescent="0.3">
      <c r="A67" t="s">
        <v>29</v>
      </c>
      <c r="B67">
        <v>555</v>
      </c>
    </row>
    <row r="68" spans="1:2" x14ac:dyDescent="0.3">
      <c r="A68" t="s">
        <v>29</v>
      </c>
      <c r="B68">
        <v>20919</v>
      </c>
    </row>
    <row r="69" spans="1:2" x14ac:dyDescent="0.3">
      <c r="A69" t="s">
        <v>16</v>
      </c>
      <c r="B69">
        <v>22352</v>
      </c>
    </row>
    <row r="70" spans="1:2" x14ac:dyDescent="0.3">
      <c r="A70" t="s">
        <v>29</v>
      </c>
      <c r="B70">
        <v>6786</v>
      </c>
    </row>
    <row r="71" spans="1:2" x14ac:dyDescent="0.3">
      <c r="A71" t="s">
        <v>16</v>
      </c>
      <c r="B71">
        <v>13806</v>
      </c>
    </row>
    <row r="72" spans="1:2" x14ac:dyDescent="0.3">
      <c r="A72" t="s">
        <v>29</v>
      </c>
      <c r="B72">
        <v>19504</v>
      </c>
    </row>
    <row r="73" spans="1:2" x14ac:dyDescent="0.3">
      <c r="A73" t="s">
        <v>29</v>
      </c>
      <c r="B73">
        <v>17250</v>
      </c>
    </row>
    <row r="74" spans="1:2" x14ac:dyDescent="0.3">
      <c r="A74" t="s">
        <v>16</v>
      </c>
      <c r="B74">
        <v>3560</v>
      </c>
    </row>
    <row r="75" spans="1:2" x14ac:dyDescent="0.3">
      <c r="A75" t="s">
        <v>12</v>
      </c>
      <c r="B75">
        <v>2014</v>
      </c>
    </row>
    <row r="76" spans="1:2" x14ac:dyDescent="0.3">
      <c r="A76" t="s">
        <v>16</v>
      </c>
      <c r="B76">
        <v>21136</v>
      </c>
    </row>
    <row r="77" spans="1:2" x14ac:dyDescent="0.3">
      <c r="A77" t="s">
        <v>16</v>
      </c>
      <c r="B77">
        <v>8494</v>
      </c>
    </row>
    <row r="78" spans="1:2" x14ac:dyDescent="0.3">
      <c r="A78" t="s">
        <v>12</v>
      </c>
      <c r="B78">
        <v>23303</v>
      </c>
    </row>
    <row r="79" spans="1:2" x14ac:dyDescent="0.3">
      <c r="A79" t="s">
        <v>12</v>
      </c>
      <c r="B79">
        <v>15457</v>
      </c>
    </row>
    <row r="80" spans="1:2" x14ac:dyDescent="0.3">
      <c r="A80" t="s">
        <v>16</v>
      </c>
      <c r="B80">
        <v>20575</v>
      </c>
    </row>
    <row r="81" spans="1:2" x14ac:dyDescent="0.3">
      <c r="A81" t="s">
        <v>16</v>
      </c>
      <c r="B81">
        <v>24868</v>
      </c>
    </row>
    <row r="82" spans="1:2" x14ac:dyDescent="0.3">
      <c r="A82" t="s">
        <v>29</v>
      </c>
      <c r="B82">
        <v>17581</v>
      </c>
    </row>
    <row r="83" spans="1:2" x14ac:dyDescent="0.3">
      <c r="A83" t="s">
        <v>29</v>
      </c>
      <c r="B83">
        <v>8183</v>
      </c>
    </row>
    <row r="84" spans="1:2" x14ac:dyDescent="0.3">
      <c r="A84" t="s">
        <v>29</v>
      </c>
      <c r="B84">
        <v>8077</v>
      </c>
    </row>
    <row r="85" spans="1:2" x14ac:dyDescent="0.3">
      <c r="A85" t="s">
        <v>16</v>
      </c>
      <c r="B85">
        <v>13856</v>
      </c>
    </row>
    <row r="86" spans="1:2" x14ac:dyDescent="0.3">
      <c r="A86" t="s">
        <v>29</v>
      </c>
      <c r="B86">
        <v>13262</v>
      </c>
    </row>
    <row r="87" spans="1:2" x14ac:dyDescent="0.3">
      <c r="A87" t="s">
        <v>16</v>
      </c>
      <c r="B87">
        <v>12026</v>
      </c>
    </row>
    <row r="88" spans="1:2" x14ac:dyDescent="0.3">
      <c r="A88" t="s">
        <v>29</v>
      </c>
      <c r="B88">
        <v>9443</v>
      </c>
    </row>
    <row r="89" spans="1:2" x14ac:dyDescent="0.3">
      <c r="A89" t="s">
        <v>12</v>
      </c>
      <c r="B89">
        <v>24229</v>
      </c>
    </row>
    <row r="90" spans="1:2" x14ac:dyDescent="0.3">
      <c r="A90" t="s">
        <v>12</v>
      </c>
      <c r="B90">
        <v>19895</v>
      </c>
    </row>
    <row r="91" spans="1:2" x14ac:dyDescent="0.3">
      <c r="A91" t="s">
        <v>12</v>
      </c>
      <c r="B91">
        <v>6454</v>
      </c>
    </row>
    <row r="92" spans="1:2" x14ac:dyDescent="0.3">
      <c r="A92" t="s">
        <v>29</v>
      </c>
      <c r="B92">
        <v>11210</v>
      </c>
    </row>
    <row r="93" spans="1:2" x14ac:dyDescent="0.3">
      <c r="A93" t="s">
        <v>29</v>
      </c>
      <c r="B93">
        <v>15911</v>
      </c>
    </row>
    <row r="94" spans="1:2" x14ac:dyDescent="0.3">
      <c r="A94" t="s">
        <v>29</v>
      </c>
      <c r="B94">
        <v>21856</v>
      </c>
    </row>
    <row r="95" spans="1:2" x14ac:dyDescent="0.3">
      <c r="A95" t="s">
        <v>12</v>
      </c>
      <c r="B95">
        <v>20859</v>
      </c>
    </row>
    <row r="96" spans="1:2" x14ac:dyDescent="0.3">
      <c r="A96" t="s">
        <v>12</v>
      </c>
      <c r="B96">
        <v>18980</v>
      </c>
    </row>
    <row r="97" spans="1:2" x14ac:dyDescent="0.3">
      <c r="A97" t="s">
        <v>16</v>
      </c>
      <c r="B97">
        <v>5998</v>
      </c>
    </row>
    <row r="98" spans="1:2" x14ac:dyDescent="0.3">
      <c r="A98" t="s">
        <v>12</v>
      </c>
      <c r="B98">
        <v>10722</v>
      </c>
    </row>
    <row r="99" spans="1:2" x14ac:dyDescent="0.3">
      <c r="A99" t="s">
        <v>29</v>
      </c>
      <c r="B99">
        <v>3839</v>
      </c>
    </row>
    <row r="100" spans="1:2" x14ac:dyDescent="0.3">
      <c r="A100" t="s">
        <v>16</v>
      </c>
      <c r="B100">
        <v>22176</v>
      </c>
    </row>
    <row r="101" spans="1:2" x14ac:dyDescent="0.3">
      <c r="A101" t="s">
        <v>16</v>
      </c>
      <c r="B101">
        <v>16562</v>
      </c>
    </row>
  </sheetData>
  <autoFilter ref="A1:B1" xr:uid="{BDC807C2-49AF-4544-9F95-6FC35A5F201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6BA8-88F5-4C71-8996-ABFBF8AB084D}">
  <dimension ref="A1:M110"/>
  <sheetViews>
    <sheetView workbookViewId="0">
      <selection activeCell="F95" sqref="F95"/>
    </sheetView>
  </sheetViews>
  <sheetFormatPr defaultRowHeight="14.4" outlineLevelRow="2" x14ac:dyDescent="0.3"/>
  <cols>
    <col min="1" max="1" width="16.6640625" bestFit="1" customWidth="1"/>
    <col min="2" max="2" width="17.109375" bestFit="1" customWidth="1"/>
    <col min="3" max="3" width="7.33203125" bestFit="1" customWidth="1"/>
  </cols>
  <sheetData>
    <row r="1" spans="1:13" x14ac:dyDescent="0.3">
      <c r="B1" t="s">
        <v>3</v>
      </c>
      <c r="C1" t="s">
        <v>7</v>
      </c>
    </row>
    <row r="2" spans="1:13" outlineLevel="2" x14ac:dyDescent="0.3">
      <c r="B2" t="s">
        <v>35</v>
      </c>
      <c r="C2">
        <v>12903</v>
      </c>
    </row>
    <row r="3" spans="1:13" outlineLevel="2" x14ac:dyDescent="0.3">
      <c r="B3" t="s">
        <v>35</v>
      </c>
      <c r="C3">
        <v>3114</v>
      </c>
      <c r="M3">
        <v>2</v>
      </c>
    </row>
    <row r="4" spans="1:13" outlineLevel="2" x14ac:dyDescent="0.3">
      <c r="B4" t="s">
        <v>35</v>
      </c>
      <c r="C4">
        <v>11327</v>
      </c>
    </row>
    <row r="5" spans="1:13" outlineLevel="2" x14ac:dyDescent="0.3">
      <c r="B5" t="s">
        <v>35</v>
      </c>
      <c r="C5">
        <v>24362</v>
      </c>
      <c r="M5" t="s">
        <v>162</v>
      </c>
    </row>
    <row r="6" spans="1:13" outlineLevel="2" x14ac:dyDescent="0.3">
      <c r="B6" t="s">
        <v>35</v>
      </c>
      <c r="C6">
        <v>19642</v>
      </c>
    </row>
    <row r="7" spans="1:13" outlineLevel="2" x14ac:dyDescent="0.3">
      <c r="B7" t="s">
        <v>35</v>
      </c>
      <c r="C7">
        <v>9044</v>
      </c>
    </row>
    <row r="8" spans="1:13" outlineLevel="2" x14ac:dyDescent="0.3">
      <c r="B8" t="s">
        <v>35</v>
      </c>
      <c r="C8">
        <v>18377</v>
      </c>
    </row>
    <row r="9" spans="1:13" outlineLevel="2" x14ac:dyDescent="0.3">
      <c r="B9" t="s">
        <v>35</v>
      </c>
      <c r="C9">
        <v>19504</v>
      </c>
    </row>
    <row r="10" spans="1:13" outlineLevel="2" x14ac:dyDescent="0.3">
      <c r="B10" t="s">
        <v>35</v>
      </c>
      <c r="C10">
        <v>23303</v>
      </c>
    </row>
    <row r="11" spans="1:13" outlineLevel="2" x14ac:dyDescent="0.3">
      <c r="B11" t="s">
        <v>35</v>
      </c>
      <c r="C11">
        <v>12026</v>
      </c>
    </row>
    <row r="12" spans="1:13" outlineLevel="2" x14ac:dyDescent="0.3">
      <c r="B12" t="s">
        <v>35</v>
      </c>
      <c r="C12">
        <v>6454</v>
      </c>
    </row>
    <row r="13" spans="1:13" outlineLevel="2" x14ac:dyDescent="0.3">
      <c r="B13" t="s">
        <v>35</v>
      </c>
      <c r="C13">
        <v>21856</v>
      </c>
    </row>
    <row r="14" spans="1:13" outlineLevel="2" x14ac:dyDescent="0.3">
      <c r="B14" t="s">
        <v>35</v>
      </c>
      <c r="C14">
        <v>20859</v>
      </c>
    </row>
    <row r="15" spans="1:13" outlineLevel="1" x14ac:dyDescent="0.3">
      <c r="A15" s="2" t="s">
        <v>172</v>
      </c>
      <c r="B15">
        <f>SUBTOTAL(9,B2:B14)</f>
        <v>0</v>
      </c>
      <c r="C15">
        <f>SUBTOTAL(9,C2:C14)</f>
        <v>202771</v>
      </c>
    </row>
    <row r="16" spans="1:13" outlineLevel="2" x14ac:dyDescent="0.3">
      <c r="B16" t="s">
        <v>38</v>
      </c>
      <c r="C16">
        <v>23587</v>
      </c>
    </row>
    <row r="17" spans="1:3" outlineLevel="2" x14ac:dyDescent="0.3">
      <c r="B17" t="s">
        <v>38</v>
      </c>
      <c r="C17">
        <v>22237</v>
      </c>
    </row>
    <row r="18" spans="1:3" outlineLevel="2" x14ac:dyDescent="0.3">
      <c r="B18" t="s">
        <v>38</v>
      </c>
      <c r="C18">
        <v>15923</v>
      </c>
    </row>
    <row r="19" spans="1:3" outlineLevel="2" x14ac:dyDescent="0.3">
      <c r="B19" t="s">
        <v>38</v>
      </c>
      <c r="C19">
        <v>2014</v>
      </c>
    </row>
    <row r="20" spans="1:3" outlineLevel="2" x14ac:dyDescent="0.3">
      <c r="B20" t="s">
        <v>38</v>
      </c>
      <c r="C20">
        <v>11210</v>
      </c>
    </row>
    <row r="21" spans="1:3" outlineLevel="1" x14ac:dyDescent="0.3">
      <c r="A21" s="2" t="s">
        <v>173</v>
      </c>
      <c r="B21">
        <f>SUBTOTAL(9,B16:B20)</f>
        <v>0</v>
      </c>
      <c r="C21">
        <f>SUBTOTAL(9,C16:C20)</f>
        <v>74971</v>
      </c>
    </row>
    <row r="22" spans="1:3" outlineLevel="2" x14ac:dyDescent="0.3">
      <c r="B22" t="s">
        <v>11</v>
      </c>
      <c r="C22">
        <v>5072</v>
      </c>
    </row>
    <row r="23" spans="1:3" outlineLevel="2" x14ac:dyDescent="0.3">
      <c r="B23" t="s">
        <v>11</v>
      </c>
      <c r="C23">
        <v>3570</v>
      </c>
    </row>
    <row r="24" spans="1:3" outlineLevel="2" x14ac:dyDescent="0.3">
      <c r="B24" t="s">
        <v>11</v>
      </c>
      <c r="C24">
        <v>20282</v>
      </c>
    </row>
    <row r="25" spans="1:3" outlineLevel="2" x14ac:dyDescent="0.3">
      <c r="B25" t="s">
        <v>11</v>
      </c>
      <c r="C25">
        <v>5829</v>
      </c>
    </row>
    <row r="26" spans="1:3" outlineLevel="2" x14ac:dyDescent="0.3">
      <c r="B26" t="s">
        <v>11</v>
      </c>
      <c r="C26">
        <v>20043</v>
      </c>
    </row>
    <row r="27" spans="1:3" outlineLevel="2" x14ac:dyDescent="0.3">
      <c r="B27" t="s">
        <v>11</v>
      </c>
      <c r="C27">
        <v>4155</v>
      </c>
    </row>
    <row r="28" spans="1:3" outlineLevel="2" x14ac:dyDescent="0.3">
      <c r="B28" t="s">
        <v>11</v>
      </c>
      <c r="C28">
        <v>5508</v>
      </c>
    </row>
    <row r="29" spans="1:3" outlineLevel="2" x14ac:dyDescent="0.3">
      <c r="B29" t="s">
        <v>11</v>
      </c>
      <c r="C29">
        <v>8392</v>
      </c>
    </row>
    <row r="30" spans="1:3" outlineLevel="2" x14ac:dyDescent="0.3">
      <c r="B30" t="s">
        <v>11</v>
      </c>
      <c r="C30">
        <v>17955</v>
      </c>
    </row>
    <row r="31" spans="1:3" outlineLevel="2" x14ac:dyDescent="0.3">
      <c r="B31" t="s">
        <v>11</v>
      </c>
      <c r="C31">
        <v>13970</v>
      </c>
    </row>
    <row r="32" spans="1:3" outlineLevel="2" x14ac:dyDescent="0.3">
      <c r="B32" t="s">
        <v>11</v>
      </c>
      <c r="C32">
        <v>5093</v>
      </c>
    </row>
    <row r="33" spans="1:3" outlineLevel="2" x14ac:dyDescent="0.3">
      <c r="B33" t="s">
        <v>11</v>
      </c>
      <c r="C33">
        <v>8245</v>
      </c>
    </row>
    <row r="34" spans="1:3" outlineLevel="2" x14ac:dyDescent="0.3">
      <c r="B34" t="s">
        <v>11</v>
      </c>
      <c r="C34">
        <v>19167</v>
      </c>
    </row>
    <row r="35" spans="1:3" outlineLevel="2" x14ac:dyDescent="0.3">
      <c r="B35" t="s">
        <v>11</v>
      </c>
      <c r="C35">
        <v>4840</v>
      </c>
    </row>
    <row r="36" spans="1:3" outlineLevel="2" x14ac:dyDescent="0.3">
      <c r="B36" t="s">
        <v>11</v>
      </c>
      <c r="C36">
        <v>14858</v>
      </c>
    </row>
    <row r="37" spans="1:3" outlineLevel="2" x14ac:dyDescent="0.3">
      <c r="B37" t="s">
        <v>11</v>
      </c>
      <c r="C37">
        <v>1944</v>
      </c>
    </row>
    <row r="38" spans="1:3" outlineLevel="2" x14ac:dyDescent="0.3">
      <c r="B38" t="s">
        <v>11</v>
      </c>
      <c r="C38">
        <v>22352</v>
      </c>
    </row>
    <row r="39" spans="1:3" outlineLevel="2" x14ac:dyDescent="0.3">
      <c r="B39" t="s">
        <v>11</v>
      </c>
      <c r="C39">
        <v>10722</v>
      </c>
    </row>
    <row r="40" spans="1:3" outlineLevel="2" x14ac:dyDescent="0.3">
      <c r="B40" t="s">
        <v>11</v>
      </c>
      <c r="C40">
        <v>22176</v>
      </c>
    </row>
    <row r="41" spans="1:3" outlineLevel="2" x14ac:dyDescent="0.3">
      <c r="B41" t="s">
        <v>11</v>
      </c>
      <c r="C41">
        <v>16562</v>
      </c>
    </row>
    <row r="42" spans="1:3" outlineLevel="1" x14ac:dyDescent="0.3">
      <c r="A42" s="2" t="s">
        <v>174</v>
      </c>
      <c r="B42">
        <f>SUBTOTAL(9,B22:B41)</f>
        <v>0</v>
      </c>
      <c r="C42">
        <f>SUBTOTAL(9,C22:C41)</f>
        <v>230735</v>
      </c>
    </row>
    <row r="43" spans="1:3" outlineLevel="2" x14ac:dyDescent="0.3">
      <c r="B43" t="s">
        <v>21</v>
      </c>
      <c r="C43">
        <v>23962</v>
      </c>
    </row>
    <row r="44" spans="1:3" outlineLevel="2" x14ac:dyDescent="0.3">
      <c r="B44" t="s">
        <v>21</v>
      </c>
      <c r="C44">
        <v>21471</v>
      </c>
    </row>
    <row r="45" spans="1:3" outlineLevel="2" x14ac:dyDescent="0.3">
      <c r="B45" t="s">
        <v>21</v>
      </c>
      <c r="C45">
        <v>8005</v>
      </c>
    </row>
    <row r="46" spans="1:3" outlineLevel="2" x14ac:dyDescent="0.3">
      <c r="B46" t="s">
        <v>21</v>
      </c>
      <c r="C46">
        <v>5181</v>
      </c>
    </row>
    <row r="47" spans="1:3" outlineLevel="2" x14ac:dyDescent="0.3">
      <c r="B47" t="s">
        <v>21</v>
      </c>
      <c r="C47">
        <v>24202</v>
      </c>
    </row>
    <row r="48" spans="1:3" outlineLevel="2" x14ac:dyDescent="0.3">
      <c r="B48" t="s">
        <v>21</v>
      </c>
      <c r="C48">
        <v>8728</v>
      </c>
    </row>
    <row r="49" spans="1:3" outlineLevel="2" x14ac:dyDescent="0.3">
      <c r="B49" t="s">
        <v>21</v>
      </c>
      <c r="C49">
        <v>7804</v>
      </c>
    </row>
    <row r="50" spans="1:3" outlineLevel="2" x14ac:dyDescent="0.3">
      <c r="B50" t="s">
        <v>21</v>
      </c>
      <c r="C50">
        <v>9646</v>
      </c>
    </row>
    <row r="51" spans="1:3" outlineLevel="2" x14ac:dyDescent="0.3">
      <c r="B51" t="s">
        <v>21</v>
      </c>
      <c r="C51">
        <v>555</v>
      </c>
    </row>
    <row r="52" spans="1:3" outlineLevel="2" x14ac:dyDescent="0.3">
      <c r="B52" t="s">
        <v>21</v>
      </c>
      <c r="C52">
        <v>20919</v>
      </c>
    </row>
    <row r="53" spans="1:3" outlineLevel="2" x14ac:dyDescent="0.3">
      <c r="B53" t="s">
        <v>21</v>
      </c>
      <c r="C53">
        <v>8494</v>
      </c>
    </row>
    <row r="54" spans="1:3" outlineLevel="2" x14ac:dyDescent="0.3">
      <c r="B54" t="s">
        <v>21</v>
      </c>
      <c r="C54">
        <v>8183</v>
      </c>
    </row>
    <row r="55" spans="1:3" outlineLevel="2" x14ac:dyDescent="0.3">
      <c r="B55" t="s">
        <v>21</v>
      </c>
      <c r="C55">
        <v>18980</v>
      </c>
    </row>
    <row r="56" spans="1:3" outlineLevel="1" x14ac:dyDescent="0.3">
      <c r="A56" s="2" t="s">
        <v>175</v>
      </c>
      <c r="B56">
        <f>SUBTOTAL(9,B43:B55)</f>
        <v>0</v>
      </c>
      <c r="C56">
        <f>SUBTOTAL(9,C43:C55)</f>
        <v>166130</v>
      </c>
    </row>
    <row r="57" spans="1:3" outlineLevel="2" x14ac:dyDescent="0.3">
      <c r="B57" t="s">
        <v>53</v>
      </c>
      <c r="C57">
        <v>19621</v>
      </c>
    </row>
    <row r="58" spans="1:3" outlineLevel="2" x14ac:dyDescent="0.3">
      <c r="B58" t="s">
        <v>53</v>
      </c>
      <c r="C58">
        <v>16510</v>
      </c>
    </row>
    <row r="59" spans="1:3" outlineLevel="2" x14ac:dyDescent="0.3">
      <c r="B59" t="s">
        <v>53</v>
      </c>
      <c r="C59">
        <v>9185</v>
      </c>
    </row>
    <row r="60" spans="1:3" outlineLevel="2" x14ac:dyDescent="0.3">
      <c r="B60" t="s">
        <v>53</v>
      </c>
      <c r="C60">
        <v>15020</v>
      </c>
    </row>
    <row r="61" spans="1:3" outlineLevel="2" x14ac:dyDescent="0.3">
      <c r="B61" t="s">
        <v>53</v>
      </c>
      <c r="C61">
        <v>2745</v>
      </c>
    </row>
    <row r="62" spans="1:3" outlineLevel="2" x14ac:dyDescent="0.3">
      <c r="B62" t="s">
        <v>53</v>
      </c>
      <c r="C62">
        <v>24827</v>
      </c>
    </row>
    <row r="63" spans="1:3" outlineLevel="2" x14ac:dyDescent="0.3">
      <c r="B63" t="s">
        <v>53</v>
      </c>
      <c r="C63">
        <v>24014</v>
      </c>
    </row>
    <row r="64" spans="1:3" outlineLevel="2" x14ac:dyDescent="0.3">
      <c r="B64" t="s">
        <v>53</v>
      </c>
      <c r="C64">
        <v>13991</v>
      </c>
    </row>
    <row r="65" spans="1:3" outlineLevel="2" x14ac:dyDescent="0.3">
      <c r="B65" t="s">
        <v>53</v>
      </c>
      <c r="C65">
        <v>20048</v>
      </c>
    </row>
    <row r="66" spans="1:3" outlineLevel="2" x14ac:dyDescent="0.3">
      <c r="B66" t="s">
        <v>53</v>
      </c>
      <c r="C66">
        <v>3560</v>
      </c>
    </row>
    <row r="67" spans="1:3" outlineLevel="2" x14ac:dyDescent="0.3">
      <c r="B67" t="s">
        <v>53</v>
      </c>
      <c r="C67">
        <v>13856</v>
      </c>
    </row>
    <row r="68" spans="1:3" outlineLevel="1" x14ac:dyDescent="0.3">
      <c r="A68" s="2" t="s">
        <v>176</v>
      </c>
      <c r="B68">
        <f>SUBTOTAL(9,B57:B67)</f>
        <v>0</v>
      </c>
      <c r="C68">
        <f>SUBTOTAL(9,C57:C67)</f>
        <v>163377</v>
      </c>
    </row>
    <row r="69" spans="1:3" outlineLevel="2" x14ac:dyDescent="0.3">
      <c r="B69" t="s">
        <v>69</v>
      </c>
      <c r="C69">
        <v>7862</v>
      </c>
    </row>
    <row r="70" spans="1:3" outlineLevel="2" x14ac:dyDescent="0.3">
      <c r="B70" t="s">
        <v>69</v>
      </c>
      <c r="C70">
        <v>6739</v>
      </c>
    </row>
    <row r="71" spans="1:3" outlineLevel="2" x14ac:dyDescent="0.3">
      <c r="B71" t="s">
        <v>69</v>
      </c>
      <c r="C71">
        <v>2416</v>
      </c>
    </row>
    <row r="72" spans="1:3" outlineLevel="2" x14ac:dyDescent="0.3">
      <c r="B72" t="s">
        <v>69</v>
      </c>
      <c r="C72">
        <v>20854</v>
      </c>
    </row>
    <row r="73" spans="1:3" outlineLevel="2" x14ac:dyDescent="0.3">
      <c r="B73" t="s">
        <v>69</v>
      </c>
      <c r="C73">
        <v>21136</v>
      </c>
    </row>
    <row r="74" spans="1:3" outlineLevel="2" x14ac:dyDescent="0.3">
      <c r="B74" t="s">
        <v>69</v>
      </c>
      <c r="C74">
        <v>15457</v>
      </c>
    </row>
    <row r="75" spans="1:3" outlineLevel="2" x14ac:dyDescent="0.3">
      <c r="B75" t="s">
        <v>69</v>
      </c>
      <c r="C75">
        <v>20575</v>
      </c>
    </row>
    <row r="76" spans="1:3" outlineLevel="2" x14ac:dyDescent="0.3">
      <c r="B76" t="s">
        <v>69</v>
      </c>
      <c r="C76">
        <v>17581</v>
      </c>
    </row>
    <row r="77" spans="1:3" outlineLevel="2" x14ac:dyDescent="0.3">
      <c r="B77" t="s">
        <v>69</v>
      </c>
      <c r="C77">
        <v>13262</v>
      </c>
    </row>
    <row r="78" spans="1:3" outlineLevel="2" x14ac:dyDescent="0.3">
      <c r="B78" t="s">
        <v>69</v>
      </c>
      <c r="C78">
        <v>24229</v>
      </c>
    </row>
    <row r="79" spans="1:3" outlineLevel="2" x14ac:dyDescent="0.3">
      <c r="B79" t="s">
        <v>69</v>
      </c>
      <c r="C79">
        <v>19895</v>
      </c>
    </row>
    <row r="80" spans="1:3" outlineLevel="2" x14ac:dyDescent="0.3">
      <c r="B80" t="s">
        <v>69</v>
      </c>
      <c r="C80">
        <v>5998</v>
      </c>
    </row>
    <row r="81" spans="1:3" outlineLevel="1" x14ac:dyDescent="0.3">
      <c r="A81" s="2" t="s">
        <v>177</v>
      </c>
      <c r="B81">
        <f>SUBTOTAL(9,B69:B80)</f>
        <v>0</v>
      </c>
      <c r="C81">
        <f>SUBTOTAL(9,C69:C80)</f>
        <v>176004</v>
      </c>
    </row>
    <row r="82" spans="1:3" outlineLevel="2" x14ac:dyDescent="0.3">
      <c r="B82" t="s">
        <v>45</v>
      </c>
      <c r="C82">
        <v>20460</v>
      </c>
    </row>
    <row r="83" spans="1:3" outlineLevel="2" x14ac:dyDescent="0.3">
      <c r="B83" t="s">
        <v>45</v>
      </c>
      <c r="C83">
        <v>19085</v>
      </c>
    </row>
    <row r="84" spans="1:3" outlineLevel="2" x14ac:dyDescent="0.3">
      <c r="B84" t="s">
        <v>45</v>
      </c>
      <c r="C84">
        <v>3478</v>
      </c>
    </row>
    <row r="85" spans="1:3" outlineLevel="2" x14ac:dyDescent="0.3">
      <c r="B85" t="s">
        <v>45</v>
      </c>
      <c r="C85">
        <v>735</v>
      </c>
    </row>
    <row r="86" spans="1:3" outlineLevel="2" x14ac:dyDescent="0.3">
      <c r="B86" t="s">
        <v>45</v>
      </c>
      <c r="C86">
        <v>22509</v>
      </c>
    </row>
    <row r="87" spans="1:3" outlineLevel="2" x14ac:dyDescent="0.3">
      <c r="B87" t="s">
        <v>45</v>
      </c>
      <c r="C87">
        <v>18577</v>
      </c>
    </row>
    <row r="88" spans="1:3" outlineLevel="2" x14ac:dyDescent="0.3">
      <c r="B88" t="s">
        <v>45</v>
      </c>
      <c r="C88">
        <v>1870</v>
      </c>
    </row>
    <row r="89" spans="1:3" outlineLevel="2" x14ac:dyDescent="0.3">
      <c r="B89" t="s">
        <v>45</v>
      </c>
      <c r="C89">
        <v>22354</v>
      </c>
    </row>
    <row r="90" spans="1:3" outlineLevel="2" x14ac:dyDescent="0.3">
      <c r="B90" t="s">
        <v>45</v>
      </c>
      <c r="C90">
        <v>8257</v>
      </c>
    </row>
    <row r="91" spans="1:3" outlineLevel="2" x14ac:dyDescent="0.3">
      <c r="B91" t="s">
        <v>45</v>
      </c>
      <c r="C91">
        <v>13122</v>
      </c>
    </row>
    <row r="92" spans="1:3" outlineLevel="2" x14ac:dyDescent="0.3">
      <c r="B92" t="s">
        <v>45</v>
      </c>
      <c r="C92">
        <v>6786</v>
      </c>
    </row>
    <row r="93" spans="1:3" outlineLevel="2" x14ac:dyDescent="0.3">
      <c r="B93" t="s">
        <v>45</v>
      </c>
      <c r="C93">
        <v>17250</v>
      </c>
    </row>
    <row r="94" spans="1:3" outlineLevel="2" x14ac:dyDescent="0.3">
      <c r="B94" t="s">
        <v>45</v>
      </c>
      <c r="C94">
        <v>8077</v>
      </c>
    </row>
    <row r="95" spans="1:3" outlineLevel="1" x14ac:dyDescent="0.3">
      <c r="A95" s="2" t="s">
        <v>178</v>
      </c>
      <c r="B95">
        <f>SUBTOTAL(9,B82:B94)</f>
        <v>0</v>
      </c>
      <c r="C95">
        <f>SUBTOTAL(9,C82:C94)</f>
        <v>162560</v>
      </c>
    </row>
    <row r="96" spans="1:3" outlineLevel="2" x14ac:dyDescent="0.3">
      <c r="B96" t="s">
        <v>25</v>
      </c>
      <c r="C96">
        <v>712</v>
      </c>
    </row>
    <row r="97" spans="1:3" outlineLevel="2" x14ac:dyDescent="0.3">
      <c r="B97" t="s">
        <v>25</v>
      </c>
      <c r="C97">
        <v>11529</v>
      </c>
    </row>
    <row r="98" spans="1:3" outlineLevel="2" x14ac:dyDescent="0.3">
      <c r="B98" t="s">
        <v>25</v>
      </c>
      <c r="C98">
        <v>18628</v>
      </c>
    </row>
    <row r="99" spans="1:3" outlineLevel="2" x14ac:dyDescent="0.3">
      <c r="B99" t="s">
        <v>25</v>
      </c>
      <c r="C99">
        <v>16903</v>
      </c>
    </row>
    <row r="100" spans="1:3" outlineLevel="2" x14ac:dyDescent="0.3">
      <c r="B100" t="s">
        <v>25</v>
      </c>
      <c r="C100">
        <v>13574</v>
      </c>
    </row>
    <row r="101" spans="1:3" outlineLevel="2" x14ac:dyDescent="0.3">
      <c r="B101" t="s">
        <v>25</v>
      </c>
      <c r="C101">
        <v>2421</v>
      </c>
    </row>
    <row r="102" spans="1:3" outlineLevel="2" x14ac:dyDescent="0.3">
      <c r="B102" t="s">
        <v>25</v>
      </c>
      <c r="C102">
        <v>9847</v>
      </c>
    </row>
    <row r="103" spans="1:3" outlineLevel="2" x14ac:dyDescent="0.3">
      <c r="B103" t="s">
        <v>25</v>
      </c>
      <c r="C103">
        <v>4279</v>
      </c>
    </row>
    <row r="104" spans="1:3" outlineLevel="2" x14ac:dyDescent="0.3">
      <c r="B104" t="s">
        <v>25</v>
      </c>
      <c r="C104">
        <v>13806</v>
      </c>
    </row>
    <row r="105" spans="1:3" outlineLevel="2" x14ac:dyDescent="0.3">
      <c r="B105" t="s">
        <v>25</v>
      </c>
      <c r="C105">
        <v>24868</v>
      </c>
    </row>
    <row r="106" spans="1:3" outlineLevel="2" x14ac:dyDescent="0.3">
      <c r="B106" t="s">
        <v>25</v>
      </c>
      <c r="C106">
        <v>9443</v>
      </c>
    </row>
    <row r="107" spans="1:3" outlineLevel="2" x14ac:dyDescent="0.3">
      <c r="B107" t="s">
        <v>25</v>
      </c>
      <c r="C107">
        <v>15911</v>
      </c>
    </row>
    <row r="108" spans="1:3" outlineLevel="2" x14ac:dyDescent="0.3">
      <c r="B108" t="s">
        <v>25</v>
      </c>
      <c r="C108">
        <v>3839</v>
      </c>
    </row>
    <row r="109" spans="1:3" outlineLevel="1" x14ac:dyDescent="0.3">
      <c r="A109" s="2" t="s">
        <v>179</v>
      </c>
      <c r="B109">
        <f>SUBTOTAL(9,B96:B108)</f>
        <v>0</v>
      </c>
      <c r="C109">
        <f>SUBTOTAL(9,C96:C108)</f>
        <v>145760</v>
      </c>
    </row>
    <row r="110" spans="1:3" x14ac:dyDescent="0.3">
      <c r="A110" s="2" t="s">
        <v>180</v>
      </c>
      <c r="B110">
        <f>SUBTOTAL(9,B2:B108)</f>
        <v>0</v>
      </c>
      <c r="C110">
        <f>SUBTOTAL(9,C2:C108)</f>
        <v>1322308</v>
      </c>
    </row>
  </sheetData>
  <autoFilter ref="B1:C1" xr:uid="{AD276BA8-88F5-4C71-8996-ABFBF8AB084D}"/>
  <sortState xmlns:xlrd2="http://schemas.microsoft.com/office/spreadsheetml/2017/richdata2" ref="B2:C108">
    <sortCondition ref="B1:B108"/>
  </sortState>
  <conditionalFormatting sqref="C15:C109">
    <cfRule type="top10" dxfId="4" priority="1" rank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42FD-263E-4F85-9AD3-214997AC9BDD}">
  <dimension ref="A1:N114"/>
  <sheetViews>
    <sheetView workbookViewId="0">
      <selection activeCell="F26" sqref="F26"/>
    </sheetView>
  </sheetViews>
  <sheetFormatPr defaultRowHeight="14.4" outlineLevelRow="2" x14ac:dyDescent="0.3"/>
  <cols>
    <col min="1" max="1" width="18.5546875" bestFit="1" customWidth="1"/>
    <col min="2" max="2" width="7.33203125" bestFit="1" customWidth="1"/>
  </cols>
  <sheetData>
    <row r="1" spans="1:14" x14ac:dyDescent="0.3">
      <c r="A1" t="s">
        <v>5</v>
      </c>
      <c r="B1" t="s">
        <v>7</v>
      </c>
    </row>
    <row r="2" spans="1:14" outlineLevel="2" x14ac:dyDescent="0.3">
      <c r="A2" t="s">
        <v>39</v>
      </c>
      <c r="B2">
        <v>23587</v>
      </c>
    </row>
    <row r="3" spans="1:14" outlineLevel="2" x14ac:dyDescent="0.3">
      <c r="A3" t="s">
        <v>39</v>
      </c>
      <c r="B3">
        <v>8005</v>
      </c>
      <c r="D3" t="s">
        <v>160</v>
      </c>
      <c r="E3">
        <f>AVERAGE(B2:B112)</f>
        <v>13233.692842742841</v>
      </c>
    </row>
    <row r="4" spans="1:14" outlineLevel="2" x14ac:dyDescent="0.3">
      <c r="A4" t="s">
        <v>39</v>
      </c>
      <c r="B4">
        <v>4155</v>
      </c>
      <c r="N4">
        <v>3</v>
      </c>
    </row>
    <row r="5" spans="1:14" outlineLevel="2" x14ac:dyDescent="0.3">
      <c r="A5" t="s">
        <v>39</v>
      </c>
      <c r="B5">
        <v>5508</v>
      </c>
    </row>
    <row r="6" spans="1:14" outlineLevel="2" x14ac:dyDescent="0.3">
      <c r="A6" t="s">
        <v>39</v>
      </c>
      <c r="B6">
        <v>19642</v>
      </c>
      <c r="N6" t="s">
        <v>181</v>
      </c>
    </row>
    <row r="7" spans="1:14" outlineLevel="2" x14ac:dyDescent="0.3">
      <c r="A7" t="s">
        <v>39</v>
      </c>
      <c r="B7">
        <v>8728</v>
      </c>
      <c r="D7">
        <f>AVERAGE(B:B)</f>
        <v>13233.121553490757</v>
      </c>
    </row>
    <row r="8" spans="1:14" outlineLevel="2" x14ac:dyDescent="0.3">
      <c r="A8" t="s">
        <v>39</v>
      </c>
      <c r="B8">
        <v>4279</v>
      </c>
    </row>
    <row r="9" spans="1:14" outlineLevel="2" x14ac:dyDescent="0.3">
      <c r="A9" t="s">
        <v>39</v>
      </c>
      <c r="B9">
        <v>20048</v>
      </c>
    </row>
    <row r="10" spans="1:14" outlineLevel="2" x14ac:dyDescent="0.3">
      <c r="A10" t="s">
        <v>39</v>
      </c>
      <c r="B10">
        <v>13122</v>
      </c>
    </row>
    <row r="11" spans="1:14" outlineLevel="2" x14ac:dyDescent="0.3">
      <c r="A11" t="s">
        <v>39</v>
      </c>
      <c r="B11">
        <v>22352</v>
      </c>
    </row>
    <row r="12" spans="1:14" outlineLevel="2" x14ac:dyDescent="0.3">
      <c r="A12" t="s">
        <v>39</v>
      </c>
      <c r="B12">
        <v>20575</v>
      </c>
    </row>
    <row r="13" spans="1:14" outlineLevel="2" x14ac:dyDescent="0.3">
      <c r="A13" t="s">
        <v>39</v>
      </c>
      <c r="B13">
        <v>5998</v>
      </c>
    </row>
    <row r="14" spans="1:14" outlineLevel="2" x14ac:dyDescent="0.3">
      <c r="A14" t="s">
        <v>39</v>
      </c>
      <c r="B14">
        <v>16562</v>
      </c>
    </row>
    <row r="15" spans="1:14" outlineLevel="1" x14ac:dyDescent="0.3">
      <c r="A15" s="2" t="s">
        <v>182</v>
      </c>
      <c r="B15">
        <f>SUBTOTAL(1,B2:B14)</f>
        <v>13273.923076923076</v>
      </c>
    </row>
    <row r="16" spans="1:14" outlineLevel="2" x14ac:dyDescent="0.3">
      <c r="A16" t="s">
        <v>30</v>
      </c>
      <c r="B16">
        <v>11529</v>
      </c>
    </row>
    <row r="17" spans="1:6" outlineLevel="2" x14ac:dyDescent="0.3">
      <c r="A17" t="s">
        <v>30</v>
      </c>
      <c r="B17">
        <v>5829</v>
      </c>
    </row>
    <row r="18" spans="1:6" outlineLevel="2" x14ac:dyDescent="0.3">
      <c r="A18" t="s">
        <v>30</v>
      </c>
      <c r="B18">
        <v>19085</v>
      </c>
    </row>
    <row r="19" spans="1:6" outlineLevel="2" x14ac:dyDescent="0.3">
      <c r="A19" t="s">
        <v>30</v>
      </c>
      <c r="B19">
        <v>8392</v>
      </c>
    </row>
    <row r="20" spans="1:6" outlineLevel="2" x14ac:dyDescent="0.3">
      <c r="A20" t="s">
        <v>30</v>
      </c>
      <c r="B20">
        <v>24014</v>
      </c>
    </row>
    <row r="21" spans="1:6" outlineLevel="2" x14ac:dyDescent="0.3">
      <c r="A21" t="s">
        <v>30</v>
      </c>
      <c r="B21">
        <v>7804</v>
      </c>
    </row>
    <row r="22" spans="1:6" outlineLevel="2" x14ac:dyDescent="0.3">
      <c r="A22" t="s">
        <v>30</v>
      </c>
      <c r="B22">
        <v>9646</v>
      </c>
    </row>
    <row r="23" spans="1:6" outlineLevel="2" x14ac:dyDescent="0.3">
      <c r="A23" t="s">
        <v>30</v>
      </c>
      <c r="B23">
        <v>6786</v>
      </c>
    </row>
    <row r="24" spans="1:6" outlineLevel="2" x14ac:dyDescent="0.3">
      <c r="A24" t="s">
        <v>30</v>
      </c>
      <c r="B24">
        <v>19504</v>
      </c>
    </row>
    <row r="25" spans="1:6" outlineLevel="2" x14ac:dyDescent="0.3">
      <c r="A25" t="s">
        <v>30</v>
      </c>
      <c r="B25">
        <v>11210</v>
      </c>
    </row>
    <row r="26" spans="1:6" outlineLevel="1" x14ac:dyDescent="0.3">
      <c r="A26" s="2" t="s">
        <v>183</v>
      </c>
      <c r="B26">
        <f>SUBTOTAL(1,B16:B25)</f>
        <v>12379.9</v>
      </c>
      <c r="F26">
        <f>AVERAGE(B:B)</f>
        <v>13233.121553490757</v>
      </c>
    </row>
    <row r="27" spans="1:6" outlineLevel="2" x14ac:dyDescent="0.3">
      <c r="A27" t="s">
        <v>32</v>
      </c>
      <c r="B27">
        <v>20282</v>
      </c>
    </row>
    <row r="28" spans="1:6" outlineLevel="2" x14ac:dyDescent="0.3">
      <c r="A28" t="s">
        <v>32</v>
      </c>
      <c r="B28">
        <v>20854</v>
      </c>
    </row>
    <row r="29" spans="1:6" outlineLevel="2" x14ac:dyDescent="0.3">
      <c r="A29" t="s">
        <v>32</v>
      </c>
      <c r="B29">
        <v>24827</v>
      </c>
    </row>
    <row r="30" spans="1:6" outlineLevel="2" x14ac:dyDescent="0.3">
      <c r="A30" t="s">
        <v>32</v>
      </c>
      <c r="B30">
        <v>13991</v>
      </c>
    </row>
    <row r="31" spans="1:6" outlineLevel="2" x14ac:dyDescent="0.3">
      <c r="A31" t="s">
        <v>32</v>
      </c>
      <c r="B31">
        <v>555</v>
      </c>
    </row>
    <row r="32" spans="1:6" outlineLevel="2" x14ac:dyDescent="0.3">
      <c r="A32" t="s">
        <v>32</v>
      </c>
      <c r="B32">
        <v>8077</v>
      </c>
    </row>
    <row r="33" spans="1:2" outlineLevel="2" x14ac:dyDescent="0.3">
      <c r="A33" t="s">
        <v>32</v>
      </c>
      <c r="B33">
        <v>13262</v>
      </c>
    </row>
    <row r="34" spans="1:2" outlineLevel="1" x14ac:dyDescent="0.3">
      <c r="A34" s="2" t="s">
        <v>184</v>
      </c>
      <c r="B34">
        <f>SUBTOTAL(1,B27:B33)</f>
        <v>14549.714285714286</v>
      </c>
    </row>
    <row r="35" spans="1:2" outlineLevel="2" x14ac:dyDescent="0.3">
      <c r="A35" t="s">
        <v>58</v>
      </c>
      <c r="B35">
        <v>18628</v>
      </c>
    </row>
    <row r="36" spans="1:2" outlineLevel="2" x14ac:dyDescent="0.3">
      <c r="A36" t="s">
        <v>58</v>
      </c>
      <c r="B36">
        <v>24202</v>
      </c>
    </row>
    <row r="37" spans="1:2" outlineLevel="2" x14ac:dyDescent="0.3">
      <c r="A37" t="s">
        <v>58</v>
      </c>
      <c r="B37">
        <v>15020</v>
      </c>
    </row>
    <row r="38" spans="1:2" outlineLevel="2" x14ac:dyDescent="0.3">
      <c r="A38" t="s">
        <v>58</v>
      </c>
      <c r="B38">
        <v>2421</v>
      </c>
    </row>
    <row r="39" spans="1:2" outlineLevel="2" x14ac:dyDescent="0.3">
      <c r="A39" t="s">
        <v>58</v>
      </c>
      <c r="B39">
        <v>20919</v>
      </c>
    </row>
    <row r="40" spans="1:2" outlineLevel="2" x14ac:dyDescent="0.3">
      <c r="A40" t="s">
        <v>58</v>
      </c>
      <c r="B40">
        <v>17250</v>
      </c>
    </row>
    <row r="41" spans="1:2" outlineLevel="2" x14ac:dyDescent="0.3">
      <c r="A41" t="s">
        <v>58</v>
      </c>
      <c r="B41">
        <v>8183</v>
      </c>
    </row>
    <row r="42" spans="1:2" outlineLevel="2" x14ac:dyDescent="0.3">
      <c r="A42" t="s">
        <v>58</v>
      </c>
      <c r="B42">
        <v>15911</v>
      </c>
    </row>
    <row r="43" spans="1:2" outlineLevel="1" x14ac:dyDescent="0.3">
      <c r="A43" s="2" t="s">
        <v>185</v>
      </c>
      <c r="B43">
        <f>SUBTOTAL(1,B35:B42)</f>
        <v>15316.75</v>
      </c>
    </row>
    <row r="44" spans="1:2" outlineLevel="2" x14ac:dyDescent="0.3">
      <c r="A44" t="s">
        <v>13</v>
      </c>
      <c r="B44">
        <v>5072</v>
      </c>
    </row>
    <row r="45" spans="1:2" outlineLevel="2" x14ac:dyDescent="0.3">
      <c r="A45" t="s">
        <v>13</v>
      </c>
      <c r="B45">
        <v>20460</v>
      </c>
    </row>
    <row r="46" spans="1:2" outlineLevel="2" x14ac:dyDescent="0.3">
      <c r="A46" t="s">
        <v>13</v>
      </c>
      <c r="B46">
        <v>19621</v>
      </c>
    </row>
    <row r="47" spans="1:2" outlineLevel="2" x14ac:dyDescent="0.3">
      <c r="A47" t="s">
        <v>13</v>
      </c>
      <c r="B47">
        <v>22509</v>
      </c>
    </row>
    <row r="48" spans="1:2" outlineLevel="2" x14ac:dyDescent="0.3">
      <c r="A48" t="s">
        <v>13</v>
      </c>
      <c r="B48">
        <v>14858</v>
      </c>
    </row>
    <row r="49" spans="1:2" outlineLevel="2" x14ac:dyDescent="0.3">
      <c r="A49" t="s">
        <v>13</v>
      </c>
      <c r="B49">
        <v>18577</v>
      </c>
    </row>
    <row r="50" spans="1:2" outlineLevel="2" x14ac:dyDescent="0.3">
      <c r="A50" t="s">
        <v>13</v>
      </c>
      <c r="B50">
        <v>22354</v>
      </c>
    </row>
    <row r="51" spans="1:2" outlineLevel="2" x14ac:dyDescent="0.3">
      <c r="A51" t="s">
        <v>13</v>
      </c>
      <c r="B51">
        <v>10722</v>
      </c>
    </row>
    <row r="52" spans="1:2" outlineLevel="1" x14ac:dyDescent="0.3">
      <c r="A52" s="2" t="s">
        <v>186</v>
      </c>
      <c r="B52">
        <f>SUBTOTAL(1,B44:B51)</f>
        <v>16771.625</v>
      </c>
    </row>
    <row r="53" spans="1:2" outlineLevel="2" x14ac:dyDescent="0.3">
      <c r="A53" t="s">
        <v>72</v>
      </c>
      <c r="B53">
        <v>11327</v>
      </c>
    </row>
    <row r="54" spans="1:2" outlineLevel="2" x14ac:dyDescent="0.3">
      <c r="A54" t="s">
        <v>72</v>
      </c>
      <c r="B54">
        <v>8245</v>
      </c>
    </row>
    <row r="55" spans="1:2" outlineLevel="2" x14ac:dyDescent="0.3">
      <c r="A55" t="s">
        <v>72</v>
      </c>
      <c r="B55">
        <v>2745</v>
      </c>
    </row>
    <row r="56" spans="1:2" outlineLevel="2" x14ac:dyDescent="0.3">
      <c r="A56" t="s">
        <v>72</v>
      </c>
      <c r="B56">
        <v>18377</v>
      </c>
    </row>
    <row r="57" spans="1:2" outlineLevel="2" x14ac:dyDescent="0.3">
      <c r="A57" t="s">
        <v>72</v>
      </c>
      <c r="B57">
        <v>15923</v>
      </c>
    </row>
    <row r="58" spans="1:2" outlineLevel="2" x14ac:dyDescent="0.3">
      <c r="A58" t="s">
        <v>72</v>
      </c>
      <c r="B58">
        <v>19895</v>
      </c>
    </row>
    <row r="59" spans="1:2" outlineLevel="1" x14ac:dyDescent="0.3">
      <c r="A59" s="2" t="s">
        <v>187</v>
      </c>
      <c r="B59">
        <f>SUBTOTAL(1,B53:B58)</f>
        <v>12752</v>
      </c>
    </row>
    <row r="60" spans="1:2" outlineLevel="2" x14ac:dyDescent="0.3">
      <c r="A60" t="s">
        <v>26</v>
      </c>
      <c r="B60">
        <v>712</v>
      </c>
    </row>
    <row r="61" spans="1:2" outlineLevel="2" x14ac:dyDescent="0.3">
      <c r="A61" t="s">
        <v>26</v>
      </c>
      <c r="B61">
        <v>21471</v>
      </c>
    </row>
    <row r="62" spans="1:2" outlineLevel="2" x14ac:dyDescent="0.3">
      <c r="A62" t="s">
        <v>26</v>
      </c>
      <c r="B62">
        <v>16903</v>
      </c>
    </row>
    <row r="63" spans="1:2" outlineLevel="2" x14ac:dyDescent="0.3">
      <c r="A63" t="s">
        <v>26</v>
      </c>
      <c r="B63">
        <v>17955</v>
      </c>
    </row>
    <row r="64" spans="1:2" outlineLevel="2" x14ac:dyDescent="0.3">
      <c r="A64" t="s">
        <v>26</v>
      </c>
      <c r="B64">
        <v>6739</v>
      </c>
    </row>
    <row r="65" spans="1:2" outlineLevel="2" x14ac:dyDescent="0.3">
      <c r="A65" t="s">
        <v>26</v>
      </c>
      <c r="B65">
        <v>9847</v>
      </c>
    </row>
    <row r="66" spans="1:2" outlineLevel="2" x14ac:dyDescent="0.3">
      <c r="A66" t="s">
        <v>26</v>
      </c>
      <c r="B66">
        <v>23303</v>
      </c>
    </row>
    <row r="67" spans="1:2" outlineLevel="2" x14ac:dyDescent="0.3">
      <c r="A67" t="s">
        <v>26</v>
      </c>
      <c r="B67">
        <v>24229</v>
      </c>
    </row>
    <row r="68" spans="1:2" outlineLevel="2" x14ac:dyDescent="0.3">
      <c r="A68" t="s">
        <v>26</v>
      </c>
      <c r="B68">
        <v>6454</v>
      </c>
    </row>
    <row r="69" spans="1:2" outlineLevel="2" x14ac:dyDescent="0.3">
      <c r="A69" t="s">
        <v>26</v>
      </c>
      <c r="B69">
        <v>18980</v>
      </c>
    </row>
    <row r="70" spans="1:2" outlineLevel="1" x14ac:dyDescent="0.3">
      <c r="A70" s="2" t="s">
        <v>188</v>
      </c>
      <c r="B70">
        <f>SUBTOTAL(1,B60:B69)</f>
        <v>14659.3</v>
      </c>
    </row>
    <row r="71" spans="1:2" outlineLevel="2" x14ac:dyDescent="0.3">
      <c r="A71" t="s">
        <v>55</v>
      </c>
      <c r="B71">
        <v>3478</v>
      </c>
    </row>
    <row r="72" spans="1:2" outlineLevel="2" x14ac:dyDescent="0.3">
      <c r="A72" t="s">
        <v>55</v>
      </c>
      <c r="B72">
        <v>20043</v>
      </c>
    </row>
    <row r="73" spans="1:2" outlineLevel="2" x14ac:dyDescent="0.3">
      <c r="A73" t="s">
        <v>55</v>
      </c>
      <c r="B73">
        <v>13574</v>
      </c>
    </row>
    <row r="74" spans="1:2" outlineLevel="2" x14ac:dyDescent="0.3">
      <c r="A74" t="s">
        <v>55</v>
      </c>
      <c r="B74">
        <v>735</v>
      </c>
    </row>
    <row r="75" spans="1:2" outlineLevel="2" x14ac:dyDescent="0.3">
      <c r="A75" t="s">
        <v>55</v>
      </c>
      <c r="B75">
        <v>5093</v>
      </c>
    </row>
    <row r="76" spans="1:2" outlineLevel="2" x14ac:dyDescent="0.3">
      <c r="A76" t="s">
        <v>55</v>
      </c>
      <c r="B76">
        <v>2416</v>
      </c>
    </row>
    <row r="77" spans="1:2" outlineLevel="2" x14ac:dyDescent="0.3">
      <c r="A77" t="s">
        <v>55</v>
      </c>
      <c r="B77">
        <v>4840</v>
      </c>
    </row>
    <row r="78" spans="1:2" outlineLevel="2" x14ac:dyDescent="0.3">
      <c r="A78" t="s">
        <v>55</v>
      </c>
      <c r="B78">
        <v>2014</v>
      </c>
    </row>
    <row r="79" spans="1:2" outlineLevel="2" x14ac:dyDescent="0.3">
      <c r="A79" t="s">
        <v>55</v>
      </c>
      <c r="B79">
        <v>15457</v>
      </c>
    </row>
    <row r="80" spans="1:2" outlineLevel="2" x14ac:dyDescent="0.3">
      <c r="A80" t="s">
        <v>55</v>
      </c>
      <c r="B80">
        <v>20859</v>
      </c>
    </row>
    <row r="81" spans="1:2" outlineLevel="1" x14ac:dyDescent="0.3">
      <c r="A81" s="2" t="s">
        <v>189</v>
      </c>
      <c r="B81">
        <f>SUBTOTAL(1,B71:B80)</f>
        <v>8850.9</v>
      </c>
    </row>
    <row r="82" spans="1:2" outlineLevel="2" x14ac:dyDescent="0.3">
      <c r="A82" t="s">
        <v>22</v>
      </c>
      <c r="B82">
        <v>23962</v>
      </c>
    </row>
    <row r="83" spans="1:2" outlineLevel="2" x14ac:dyDescent="0.3">
      <c r="A83" t="s">
        <v>22</v>
      </c>
      <c r="B83">
        <v>16510</v>
      </c>
    </row>
    <row r="84" spans="1:2" outlineLevel="2" x14ac:dyDescent="0.3">
      <c r="A84" t="s">
        <v>22</v>
      </c>
      <c r="B84">
        <v>24362</v>
      </c>
    </row>
    <row r="85" spans="1:2" outlineLevel="2" x14ac:dyDescent="0.3">
      <c r="A85" t="s">
        <v>22</v>
      </c>
      <c r="B85">
        <v>9044</v>
      </c>
    </row>
    <row r="86" spans="1:2" outlineLevel="2" x14ac:dyDescent="0.3">
      <c r="A86" t="s">
        <v>22</v>
      </c>
      <c r="B86">
        <v>22237</v>
      </c>
    </row>
    <row r="87" spans="1:2" outlineLevel="2" x14ac:dyDescent="0.3">
      <c r="A87" t="s">
        <v>22</v>
      </c>
      <c r="B87">
        <v>3560</v>
      </c>
    </row>
    <row r="88" spans="1:2" outlineLevel="2" x14ac:dyDescent="0.3">
      <c r="A88" t="s">
        <v>22</v>
      </c>
      <c r="B88">
        <v>21136</v>
      </c>
    </row>
    <row r="89" spans="1:2" outlineLevel="2" x14ac:dyDescent="0.3">
      <c r="A89" t="s">
        <v>22</v>
      </c>
      <c r="B89">
        <v>22176</v>
      </c>
    </row>
    <row r="90" spans="1:2" outlineLevel="1" x14ac:dyDescent="0.3">
      <c r="A90" s="2" t="s">
        <v>190</v>
      </c>
      <c r="B90">
        <f>SUBTOTAL(1,B82:B89)</f>
        <v>17873.375</v>
      </c>
    </row>
    <row r="91" spans="1:2" outlineLevel="2" x14ac:dyDescent="0.3">
      <c r="A91" t="s">
        <v>41</v>
      </c>
      <c r="B91">
        <v>3114</v>
      </c>
    </row>
    <row r="92" spans="1:2" outlineLevel="2" x14ac:dyDescent="0.3">
      <c r="A92" t="s">
        <v>41</v>
      </c>
      <c r="B92">
        <v>19167</v>
      </c>
    </row>
    <row r="93" spans="1:2" outlineLevel="2" x14ac:dyDescent="0.3">
      <c r="A93" t="s">
        <v>41</v>
      </c>
      <c r="B93">
        <v>1870</v>
      </c>
    </row>
    <row r="94" spans="1:2" outlineLevel="2" x14ac:dyDescent="0.3">
      <c r="A94" t="s">
        <v>41</v>
      </c>
      <c r="B94">
        <v>13806</v>
      </c>
    </row>
    <row r="95" spans="1:2" outlineLevel="2" x14ac:dyDescent="0.3">
      <c r="A95" t="s">
        <v>41</v>
      </c>
      <c r="B95">
        <v>13856</v>
      </c>
    </row>
    <row r="96" spans="1:2" outlineLevel="1" x14ac:dyDescent="0.3">
      <c r="A96" s="2" t="s">
        <v>191</v>
      </c>
      <c r="B96">
        <f>SUBTOTAL(1,B91:B95)</f>
        <v>10362.6</v>
      </c>
    </row>
    <row r="97" spans="1:2" outlineLevel="2" x14ac:dyDescent="0.3">
      <c r="A97" t="s">
        <v>17</v>
      </c>
      <c r="B97">
        <v>3570</v>
      </c>
    </row>
    <row r="98" spans="1:2" outlineLevel="2" x14ac:dyDescent="0.3">
      <c r="A98" t="s">
        <v>17</v>
      </c>
      <c r="B98">
        <v>12903</v>
      </c>
    </row>
    <row r="99" spans="1:2" outlineLevel="2" x14ac:dyDescent="0.3">
      <c r="A99" t="s">
        <v>17</v>
      </c>
      <c r="B99">
        <v>5181</v>
      </c>
    </row>
    <row r="100" spans="1:2" outlineLevel="2" x14ac:dyDescent="0.3">
      <c r="A100" t="s">
        <v>17</v>
      </c>
      <c r="B100">
        <v>9185</v>
      </c>
    </row>
    <row r="101" spans="1:2" outlineLevel="2" x14ac:dyDescent="0.3">
      <c r="A101" t="s">
        <v>17</v>
      </c>
      <c r="B101">
        <v>7862</v>
      </c>
    </row>
    <row r="102" spans="1:2" outlineLevel="2" x14ac:dyDescent="0.3">
      <c r="A102" t="s">
        <v>17</v>
      </c>
      <c r="B102">
        <v>13970</v>
      </c>
    </row>
    <row r="103" spans="1:2" outlineLevel="2" x14ac:dyDescent="0.3">
      <c r="A103" t="s">
        <v>17</v>
      </c>
      <c r="B103">
        <v>1944</v>
      </c>
    </row>
    <row r="104" spans="1:2" outlineLevel="2" x14ac:dyDescent="0.3">
      <c r="A104" t="s">
        <v>17</v>
      </c>
      <c r="B104">
        <v>8257</v>
      </c>
    </row>
    <row r="105" spans="1:2" outlineLevel="2" x14ac:dyDescent="0.3">
      <c r="A105" t="s">
        <v>17</v>
      </c>
      <c r="B105">
        <v>8494</v>
      </c>
    </row>
    <row r="106" spans="1:2" outlineLevel="2" x14ac:dyDescent="0.3">
      <c r="A106" t="s">
        <v>17</v>
      </c>
      <c r="B106">
        <v>24868</v>
      </c>
    </row>
    <row r="107" spans="1:2" outlineLevel="2" x14ac:dyDescent="0.3">
      <c r="A107" t="s">
        <v>17</v>
      </c>
      <c r="B107">
        <v>12026</v>
      </c>
    </row>
    <row r="108" spans="1:2" outlineLevel="1" x14ac:dyDescent="0.3">
      <c r="A108" s="2" t="s">
        <v>192</v>
      </c>
      <c r="B108">
        <f>SUBTOTAL(1,B97:B107)</f>
        <v>9841.818181818182</v>
      </c>
    </row>
    <row r="109" spans="1:2" outlineLevel="2" x14ac:dyDescent="0.3">
      <c r="A109" t="s">
        <v>124</v>
      </c>
      <c r="B109">
        <v>17581</v>
      </c>
    </row>
    <row r="110" spans="1:2" outlineLevel="2" x14ac:dyDescent="0.3">
      <c r="A110" t="s">
        <v>124</v>
      </c>
      <c r="B110">
        <v>9443</v>
      </c>
    </row>
    <row r="111" spans="1:2" outlineLevel="2" x14ac:dyDescent="0.3">
      <c r="A111" t="s">
        <v>124</v>
      </c>
      <c r="B111">
        <v>21856</v>
      </c>
    </row>
    <row r="112" spans="1:2" outlineLevel="2" x14ac:dyDescent="0.3">
      <c r="A112" t="s">
        <v>124</v>
      </c>
      <c r="B112">
        <v>3839</v>
      </c>
    </row>
    <row r="113" spans="1:2" outlineLevel="1" x14ac:dyDescent="0.3">
      <c r="A113" s="2" t="s">
        <v>193</v>
      </c>
      <c r="B113">
        <f>SUBTOTAL(1,B109:B112)</f>
        <v>13179.75</v>
      </c>
    </row>
    <row r="114" spans="1:2" x14ac:dyDescent="0.3">
      <c r="A114" s="2" t="s">
        <v>194</v>
      </c>
      <c r="B114">
        <f>SUBTOTAL(1,B2:B112)</f>
        <v>13223.08</v>
      </c>
    </row>
  </sheetData>
  <autoFilter ref="A1:B112" xr:uid="{4DCF42FD-263E-4F85-9AD3-214997AC9BDD}">
    <sortState xmlns:xlrd2="http://schemas.microsoft.com/office/spreadsheetml/2017/richdata2" ref="A2:B112">
      <sortCondition ref="A1:A112"/>
    </sortState>
  </autoFilter>
  <conditionalFormatting sqref="B15:B114">
    <cfRule type="cellIs" dxfId="3" priority="1" operator="greaterThan">
      <formula>$F$26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7574-97AF-4F55-8EC6-CBC3EB6D74FE}">
  <dimension ref="A1:F106"/>
  <sheetViews>
    <sheetView workbookViewId="0">
      <selection activeCell="H3" sqref="H3"/>
    </sheetView>
  </sheetViews>
  <sheetFormatPr defaultRowHeight="14.4" outlineLevelRow="2" x14ac:dyDescent="0.3"/>
  <cols>
    <col min="1" max="1" width="10.77734375" bestFit="1" customWidth="1"/>
    <col min="2" max="2" width="8" bestFit="1" customWidth="1"/>
  </cols>
  <sheetData>
    <row r="1" spans="1:6" x14ac:dyDescent="0.3">
      <c r="A1" t="s">
        <v>6</v>
      </c>
      <c r="B1" t="s">
        <v>7</v>
      </c>
    </row>
    <row r="2" spans="1:6" outlineLevel="2" x14ac:dyDescent="0.3">
      <c r="A2" t="s">
        <v>27</v>
      </c>
      <c r="B2">
        <v>712</v>
      </c>
      <c r="D2" t="s">
        <v>199</v>
      </c>
      <c r="E2">
        <f>SUMIFS(B:B,A:A,A2)</f>
        <v>265633</v>
      </c>
      <c r="F2" s="3">
        <f>B24/B106</f>
        <v>0.20088587530287952</v>
      </c>
    </row>
    <row r="3" spans="1:6" outlineLevel="2" x14ac:dyDescent="0.3">
      <c r="A3" t="s">
        <v>27</v>
      </c>
      <c r="B3">
        <v>20282</v>
      </c>
      <c r="D3" t="s">
        <v>200</v>
      </c>
      <c r="E3">
        <f>SUMIFS(B:B,A:A,A25)</f>
        <v>350356</v>
      </c>
      <c r="F3" s="3">
        <f>B50/B106</f>
        <v>0.26495793718256261</v>
      </c>
    </row>
    <row r="4" spans="1:6" outlineLevel="2" x14ac:dyDescent="0.3">
      <c r="A4" t="s">
        <v>27</v>
      </c>
      <c r="B4">
        <v>3114</v>
      </c>
      <c r="D4" t="s">
        <v>201</v>
      </c>
      <c r="E4">
        <f>SUMIFS(B:B,A:A,A51)</f>
        <v>349497</v>
      </c>
      <c r="F4" s="3">
        <f>B78/B106</f>
        <v>0.26430831546054323</v>
      </c>
    </row>
    <row r="5" spans="1:6" outlineLevel="2" x14ac:dyDescent="0.3">
      <c r="A5" t="s">
        <v>27</v>
      </c>
      <c r="B5">
        <v>5829</v>
      </c>
      <c r="D5" t="s">
        <v>202</v>
      </c>
      <c r="E5">
        <f>SUMIFS(B:B,A:A,A79)</f>
        <v>356822</v>
      </c>
      <c r="F5" s="3">
        <f>B105/B106</f>
        <v>0.26984787205401467</v>
      </c>
    </row>
    <row r="6" spans="1:6" outlineLevel="2" x14ac:dyDescent="0.3">
      <c r="A6" t="s">
        <v>27</v>
      </c>
      <c r="B6">
        <v>21471</v>
      </c>
    </row>
    <row r="7" spans="1:6" outlineLevel="2" x14ac:dyDescent="0.3">
      <c r="A7" t="s">
        <v>27</v>
      </c>
      <c r="B7">
        <v>18628</v>
      </c>
      <c r="E7">
        <v>1322308</v>
      </c>
      <c r="F7" s="3"/>
    </row>
    <row r="8" spans="1:6" outlineLevel="2" x14ac:dyDescent="0.3">
      <c r="A8" t="s">
        <v>27</v>
      </c>
      <c r="B8">
        <v>4155</v>
      </c>
    </row>
    <row r="9" spans="1:6" outlineLevel="2" x14ac:dyDescent="0.3">
      <c r="A9" t="s">
        <v>27</v>
      </c>
      <c r="B9">
        <v>16903</v>
      </c>
    </row>
    <row r="10" spans="1:6" outlineLevel="2" x14ac:dyDescent="0.3">
      <c r="A10" t="s">
        <v>27</v>
      </c>
      <c r="B10">
        <v>16510</v>
      </c>
    </row>
    <row r="11" spans="1:6" outlineLevel="2" x14ac:dyDescent="0.3">
      <c r="A11" t="s">
        <v>27</v>
      </c>
      <c r="B11">
        <v>13574</v>
      </c>
    </row>
    <row r="12" spans="1:6" outlineLevel="2" x14ac:dyDescent="0.3">
      <c r="A12" t="s">
        <v>27</v>
      </c>
      <c r="B12">
        <v>9044</v>
      </c>
    </row>
    <row r="13" spans="1:6" outlineLevel="2" x14ac:dyDescent="0.3">
      <c r="A13" t="s">
        <v>27</v>
      </c>
      <c r="B13">
        <v>4840</v>
      </c>
    </row>
    <row r="14" spans="1:6" outlineLevel="2" x14ac:dyDescent="0.3">
      <c r="A14" t="s">
        <v>27</v>
      </c>
      <c r="B14">
        <v>22237</v>
      </c>
    </row>
    <row r="15" spans="1:6" outlineLevel="2" x14ac:dyDescent="0.3">
      <c r="A15" t="s">
        <v>27</v>
      </c>
      <c r="B15">
        <v>1944</v>
      </c>
    </row>
    <row r="16" spans="1:6" outlineLevel="2" x14ac:dyDescent="0.3">
      <c r="A16" t="s">
        <v>27</v>
      </c>
      <c r="B16">
        <v>13991</v>
      </c>
    </row>
    <row r="17" spans="1:2" outlineLevel="2" x14ac:dyDescent="0.3">
      <c r="A17" t="s">
        <v>27</v>
      </c>
      <c r="B17">
        <v>20919</v>
      </c>
    </row>
    <row r="18" spans="1:2" outlineLevel="2" x14ac:dyDescent="0.3">
      <c r="A18" t="s">
        <v>27</v>
      </c>
      <c r="B18">
        <v>22352</v>
      </c>
    </row>
    <row r="19" spans="1:2" outlineLevel="2" x14ac:dyDescent="0.3">
      <c r="A19" t="s">
        <v>27</v>
      </c>
      <c r="B19">
        <v>13806</v>
      </c>
    </row>
    <row r="20" spans="1:2" outlineLevel="2" x14ac:dyDescent="0.3">
      <c r="A20" t="s">
        <v>27</v>
      </c>
      <c r="B20">
        <v>3560</v>
      </c>
    </row>
    <row r="21" spans="1:2" outlineLevel="2" x14ac:dyDescent="0.3">
      <c r="A21" t="s">
        <v>27</v>
      </c>
      <c r="B21">
        <v>17581</v>
      </c>
    </row>
    <row r="22" spans="1:2" outlineLevel="2" x14ac:dyDescent="0.3">
      <c r="A22" t="s">
        <v>27</v>
      </c>
      <c r="B22">
        <v>8183</v>
      </c>
    </row>
    <row r="23" spans="1:2" outlineLevel="2" x14ac:dyDescent="0.3">
      <c r="A23" t="s">
        <v>27</v>
      </c>
      <c r="B23">
        <v>5998</v>
      </c>
    </row>
    <row r="24" spans="1:2" outlineLevel="1" x14ac:dyDescent="0.3">
      <c r="A24" s="2" t="s">
        <v>195</v>
      </c>
      <c r="B24">
        <f>SUBTOTAL(9,B2:B23)</f>
        <v>265633</v>
      </c>
    </row>
    <row r="25" spans="1:2" outlineLevel="2" x14ac:dyDescent="0.3">
      <c r="A25" t="s">
        <v>18</v>
      </c>
      <c r="B25">
        <v>3570</v>
      </c>
    </row>
    <row r="26" spans="1:2" outlineLevel="2" x14ac:dyDescent="0.3">
      <c r="A26" t="s">
        <v>18</v>
      </c>
      <c r="B26">
        <v>12903</v>
      </c>
    </row>
    <row r="27" spans="1:2" outlineLevel="2" x14ac:dyDescent="0.3">
      <c r="A27" t="s">
        <v>18</v>
      </c>
      <c r="B27">
        <v>20460</v>
      </c>
    </row>
    <row r="28" spans="1:2" outlineLevel="2" x14ac:dyDescent="0.3">
      <c r="A28" t="s">
        <v>18</v>
      </c>
      <c r="B28">
        <v>8005</v>
      </c>
    </row>
    <row r="29" spans="1:2" outlineLevel="2" x14ac:dyDescent="0.3">
      <c r="A29" t="s">
        <v>18</v>
      </c>
      <c r="B29">
        <v>8392</v>
      </c>
    </row>
    <row r="30" spans="1:2" outlineLevel="2" x14ac:dyDescent="0.3">
      <c r="A30" t="s">
        <v>18</v>
      </c>
      <c r="B30">
        <v>17955</v>
      </c>
    </row>
    <row r="31" spans="1:2" outlineLevel="2" x14ac:dyDescent="0.3">
      <c r="A31" t="s">
        <v>18</v>
      </c>
      <c r="B31">
        <v>11327</v>
      </c>
    </row>
    <row r="32" spans="1:2" outlineLevel="2" x14ac:dyDescent="0.3">
      <c r="A32" t="s">
        <v>18</v>
      </c>
      <c r="B32">
        <v>15020</v>
      </c>
    </row>
    <row r="33" spans="1:2" outlineLevel="2" x14ac:dyDescent="0.3">
      <c r="A33" t="s">
        <v>18</v>
      </c>
      <c r="B33">
        <v>8245</v>
      </c>
    </row>
    <row r="34" spans="1:2" outlineLevel="2" x14ac:dyDescent="0.3">
      <c r="A34" t="s">
        <v>18</v>
      </c>
      <c r="B34">
        <v>19642</v>
      </c>
    </row>
    <row r="35" spans="1:2" outlineLevel="2" x14ac:dyDescent="0.3">
      <c r="A35" t="s">
        <v>18</v>
      </c>
      <c r="B35">
        <v>19167</v>
      </c>
    </row>
    <row r="36" spans="1:2" outlineLevel="2" x14ac:dyDescent="0.3">
      <c r="A36" t="s">
        <v>18</v>
      </c>
      <c r="B36">
        <v>24827</v>
      </c>
    </row>
    <row r="37" spans="1:2" outlineLevel="2" x14ac:dyDescent="0.3">
      <c r="A37" t="s">
        <v>18</v>
      </c>
      <c r="B37">
        <v>15923</v>
      </c>
    </row>
    <row r="38" spans="1:2" outlineLevel="2" x14ac:dyDescent="0.3">
      <c r="A38" t="s">
        <v>18</v>
      </c>
      <c r="B38">
        <v>9646</v>
      </c>
    </row>
    <row r="39" spans="1:2" outlineLevel="2" x14ac:dyDescent="0.3">
      <c r="A39" t="s">
        <v>18</v>
      </c>
      <c r="B39">
        <v>4279</v>
      </c>
    </row>
    <row r="40" spans="1:2" outlineLevel="2" x14ac:dyDescent="0.3">
      <c r="A40" t="s">
        <v>18</v>
      </c>
      <c r="B40">
        <v>20048</v>
      </c>
    </row>
    <row r="41" spans="1:2" outlineLevel="2" x14ac:dyDescent="0.3">
      <c r="A41" t="s">
        <v>18</v>
      </c>
      <c r="B41">
        <v>13122</v>
      </c>
    </row>
    <row r="42" spans="1:2" outlineLevel="2" x14ac:dyDescent="0.3">
      <c r="A42" t="s">
        <v>18</v>
      </c>
      <c r="B42">
        <v>2014</v>
      </c>
    </row>
    <row r="43" spans="1:2" outlineLevel="2" x14ac:dyDescent="0.3">
      <c r="A43" t="s">
        <v>18</v>
      </c>
      <c r="B43">
        <v>15457</v>
      </c>
    </row>
    <row r="44" spans="1:2" outlineLevel="2" x14ac:dyDescent="0.3">
      <c r="A44" t="s">
        <v>18</v>
      </c>
      <c r="B44">
        <v>12026</v>
      </c>
    </row>
    <row r="45" spans="1:2" outlineLevel="2" x14ac:dyDescent="0.3">
      <c r="A45" t="s">
        <v>18</v>
      </c>
      <c r="B45">
        <v>15911</v>
      </c>
    </row>
    <row r="46" spans="1:2" outlineLevel="2" x14ac:dyDescent="0.3">
      <c r="A46" t="s">
        <v>18</v>
      </c>
      <c r="B46">
        <v>21856</v>
      </c>
    </row>
    <row r="47" spans="1:2" outlineLevel="2" x14ac:dyDescent="0.3">
      <c r="A47" t="s">
        <v>18</v>
      </c>
      <c r="B47">
        <v>20859</v>
      </c>
    </row>
    <row r="48" spans="1:2" outlineLevel="2" x14ac:dyDescent="0.3">
      <c r="A48" t="s">
        <v>18</v>
      </c>
      <c r="B48">
        <v>18980</v>
      </c>
    </row>
    <row r="49" spans="1:2" outlineLevel="2" x14ac:dyDescent="0.3">
      <c r="A49" t="s">
        <v>18</v>
      </c>
      <c r="B49">
        <v>10722</v>
      </c>
    </row>
    <row r="50" spans="1:2" outlineLevel="1" x14ac:dyDescent="0.3">
      <c r="A50" s="2" t="s">
        <v>196</v>
      </c>
      <c r="B50">
        <f>SUBTOTAL(9,B25:B49)</f>
        <v>350356</v>
      </c>
    </row>
    <row r="51" spans="1:2" outlineLevel="2" x14ac:dyDescent="0.3">
      <c r="A51" t="s">
        <v>14</v>
      </c>
      <c r="B51">
        <v>5072</v>
      </c>
    </row>
    <row r="52" spans="1:2" outlineLevel="2" x14ac:dyDescent="0.3">
      <c r="A52" t="s">
        <v>14</v>
      </c>
      <c r="B52">
        <v>23962</v>
      </c>
    </row>
    <row r="53" spans="1:2" outlineLevel="2" x14ac:dyDescent="0.3">
      <c r="A53" t="s">
        <v>14</v>
      </c>
      <c r="B53">
        <v>11529</v>
      </c>
    </row>
    <row r="54" spans="1:2" outlineLevel="2" x14ac:dyDescent="0.3">
      <c r="A54" t="s">
        <v>14</v>
      </c>
      <c r="B54">
        <v>23587</v>
      </c>
    </row>
    <row r="55" spans="1:2" outlineLevel="2" x14ac:dyDescent="0.3">
      <c r="A55" t="s">
        <v>14</v>
      </c>
      <c r="B55">
        <v>19085</v>
      </c>
    </row>
    <row r="56" spans="1:2" outlineLevel="2" x14ac:dyDescent="0.3">
      <c r="A56" t="s">
        <v>14</v>
      </c>
      <c r="B56">
        <v>5508</v>
      </c>
    </row>
    <row r="57" spans="1:2" outlineLevel="2" x14ac:dyDescent="0.3">
      <c r="A57" t="s">
        <v>14</v>
      </c>
      <c r="B57">
        <v>9185</v>
      </c>
    </row>
    <row r="58" spans="1:2" outlineLevel="2" x14ac:dyDescent="0.3">
      <c r="A58" t="s">
        <v>14</v>
      </c>
      <c r="B58">
        <v>7862</v>
      </c>
    </row>
    <row r="59" spans="1:2" outlineLevel="2" x14ac:dyDescent="0.3">
      <c r="A59" t="s">
        <v>14</v>
      </c>
      <c r="B59">
        <v>735</v>
      </c>
    </row>
    <row r="60" spans="1:2" outlineLevel="2" x14ac:dyDescent="0.3">
      <c r="A60" t="s">
        <v>14</v>
      </c>
      <c r="B60">
        <v>24202</v>
      </c>
    </row>
    <row r="61" spans="1:2" outlineLevel="2" x14ac:dyDescent="0.3">
      <c r="A61" t="s">
        <v>14</v>
      </c>
      <c r="B61">
        <v>2416</v>
      </c>
    </row>
    <row r="62" spans="1:2" outlineLevel="2" x14ac:dyDescent="0.3">
      <c r="A62" t="s">
        <v>14</v>
      </c>
      <c r="B62">
        <v>2745</v>
      </c>
    </row>
    <row r="63" spans="1:2" outlineLevel="2" x14ac:dyDescent="0.3">
      <c r="A63" t="s">
        <v>14</v>
      </c>
      <c r="B63">
        <v>22509</v>
      </c>
    </row>
    <row r="64" spans="1:2" outlineLevel="2" x14ac:dyDescent="0.3">
      <c r="A64" t="s">
        <v>14</v>
      </c>
      <c r="B64">
        <v>14858</v>
      </c>
    </row>
    <row r="65" spans="1:2" outlineLevel="2" x14ac:dyDescent="0.3">
      <c r="A65" t="s">
        <v>14</v>
      </c>
      <c r="B65">
        <v>24014</v>
      </c>
    </row>
    <row r="66" spans="1:2" outlineLevel="2" x14ac:dyDescent="0.3">
      <c r="A66" t="s">
        <v>14</v>
      </c>
      <c r="B66">
        <v>18377</v>
      </c>
    </row>
    <row r="67" spans="1:2" outlineLevel="2" x14ac:dyDescent="0.3">
      <c r="A67" t="s">
        <v>14</v>
      </c>
      <c r="B67">
        <v>1870</v>
      </c>
    </row>
    <row r="68" spans="1:2" outlineLevel="2" x14ac:dyDescent="0.3">
      <c r="A68" t="s">
        <v>14</v>
      </c>
      <c r="B68">
        <v>22354</v>
      </c>
    </row>
    <row r="69" spans="1:2" outlineLevel="2" x14ac:dyDescent="0.3">
      <c r="A69" t="s">
        <v>14</v>
      </c>
      <c r="B69">
        <v>8257</v>
      </c>
    </row>
    <row r="70" spans="1:2" outlineLevel="2" x14ac:dyDescent="0.3">
      <c r="A70" t="s">
        <v>14</v>
      </c>
      <c r="B70">
        <v>7804</v>
      </c>
    </row>
    <row r="71" spans="1:2" outlineLevel="2" x14ac:dyDescent="0.3">
      <c r="A71" t="s">
        <v>14</v>
      </c>
      <c r="B71">
        <v>6786</v>
      </c>
    </row>
    <row r="72" spans="1:2" outlineLevel="2" x14ac:dyDescent="0.3">
      <c r="A72" t="s">
        <v>14</v>
      </c>
      <c r="B72">
        <v>17250</v>
      </c>
    </row>
    <row r="73" spans="1:2" outlineLevel="2" x14ac:dyDescent="0.3">
      <c r="A73" t="s">
        <v>14</v>
      </c>
      <c r="B73">
        <v>23303</v>
      </c>
    </row>
    <row r="74" spans="1:2" outlineLevel="2" x14ac:dyDescent="0.3">
      <c r="A74" t="s">
        <v>14</v>
      </c>
      <c r="B74">
        <v>24868</v>
      </c>
    </row>
    <row r="75" spans="1:2" outlineLevel="2" x14ac:dyDescent="0.3">
      <c r="A75" t="s">
        <v>14</v>
      </c>
      <c r="B75">
        <v>8077</v>
      </c>
    </row>
    <row r="76" spans="1:2" outlineLevel="2" x14ac:dyDescent="0.3">
      <c r="A76" t="s">
        <v>14</v>
      </c>
      <c r="B76">
        <v>9443</v>
      </c>
    </row>
    <row r="77" spans="1:2" outlineLevel="2" x14ac:dyDescent="0.3">
      <c r="A77" t="s">
        <v>14</v>
      </c>
      <c r="B77">
        <v>3839</v>
      </c>
    </row>
    <row r="78" spans="1:2" outlineLevel="1" x14ac:dyDescent="0.3">
      <c r="A78" s="2" t="s">
        <v>197</v>
      </c>
      <c r="B78">
        <f>SUBTOTAL(9,B51:B77)</f>
        <v>349497</v>
      </c>
    </row>
    <row r="79" spans="1:2" outlineLevel="2" x14ac:dyDescent="0.3">
      <c r="A79" t="s">
        <v>50</v>
      </c>
      <c r="B79">
        <v>5181</v>
      </c>
    </row>
    <row r="80" spans="1:2" outlineLevel="2" x14ac:dyDescent="0.3">
      <c r="A80" t="s">
        <v>50</v>
      </c>
      <c r="B80">
        <v>19621</v>
      </c>
    </row>
    <row r="81" spans="1:2" outlineLevel="2" x14ac:dyDescent="0.3">
      <c r="A81" t="s">
        <v>50</v>
      </c>
      <c r="B81">
        <v>3478</v>
      </c>
    </row>
    <row r="82" spans="1:2" outlineLevel="2" x14ac:dyDescent="0.3">
      <c r="A82" t="s">
        <v>50</v>
      </c>
      <c r="B82">
        <v>20043</v>
      </c>
    </row>
    <row r="83" spans="1:2" outlineLevel="2" x14ac:dyDescent="0.3">
      <c r="A83" t="s">
        <v>50</v>
      </c>
      <c r="B83">
        <v>6739</v>
      </c>
    </row>
    <row r="84" spans="1:2" outlineLevel="2" x14ac:dyDescent="0.3">
      <c r="A84" t="s">
        <v>50</v>
      </c>
      <c r="B84">
        <v>13970</v>
      </c>
    </row>
    <row r="85" spans="1:2" outlineLevel="2" x14ac:dyDescent="0.3">
      <c r="A85" t="s">
        <v>50</v>
      </c>
      <c r="B85">
        <v>24362</v>
      </c>
    </row>
    <row r="86" spans="1:2" outlineLevel="2" x14ac:dyDescent="0.3">
      <c r="A86" t="s">
        <v>50</v>
      </c>
      <c r="B86">
        <v>5093</v>
      </c>
    </row>
    <row r="87" spans="1:2" outlineLevel="2" x14ac:dyDescent="0.3">
      <c r="A87" t="s">
        <v>50</v>
      </c>
      <c r="B87">
        <v>2421</v>
      </c>
    </row>
    <row r="88" spans="1:2" outlineLevel="2" x14ac:dyDescent="0.3">
      <c r="A88" t="s">
        <v>50</v>
      </c>
      <c r="B88">
        <v>9847</v>
      </c>
    </row>
    <row r="89" spans="1:2" outlineLevel="2" x14ac:dyDescent="0.3">
      <c r="A89" t="s">
        <v>50</v>
      </c>
      <c r="B89">
        <v>20854</v>
      </c>
    </row>
    <row r="90" spans="1:2" outlineLevel="2" x14ac:dyDescent="0.3">
      <c r="A90" t="s">
        <v>50</v>
      </c>
      <c r="B90">
        <v>8728</v>
      </c>
    </row>
    <row r="91" spans="1:2" outlineLevel="2" x14ac:dyDescent="0.3">
      <c r="A91" t="s">
        <v>50</v>
      </c>
      <c r="B91">
        <v>18577</v>
      </c>
    </row>
    <row r="92" spans="1:2" outlineLevel="2" x14ac:dyDescent="0.3">
      <c r="A92" t="s">
        <v>50</v>
      </c>
      <c r="B92">
        <v>555</v>
      </c>
    </row>
    <row r="93" spans="1:2" outlineLevel="2" x14ac:dyDescent="0.3">
      <c r="A93" t="s">
        <v>50</v>
      </c>
      <c r="B93">
        <v>19504</v>
      </c>
    </row>
    <row r="94" spans="1:2" outlineLevel="2" x14ac:dyDescent="0.3">
      <c r="A94" t="s">
        <v>50</v>
      </c>
      <c r="B94">
        <v>21136</v>
      </c>
    </row>
    <row r="95" spans="1:2" outlineLevel="2" x14ac:dyDescent="0.3">
      <c r="A95" t="s">
        <v>50</v>
      </c>
      <c r="B95">
        <v>8494</v>
      </c>
    </row>
    <row r="96" spans="1:2" outlineLevel="2" x14ac:dyDescent="0.3">
      <c r="A96" t="s">
        <v>50</v>
      </c>
      <c r="B96">
        <v>20575</v>
      </c>
    </row>
    <row r="97" spans="1:2" outlineLevel="2" x14ac:dyDescent="0.3">
      <c r="A97" t="s">
        <v>50</v>
      </c>
      <c r="B97">
        <v>13856</v>
      </c>
    </row>
    <row r="98" spans="1:2" outlineLevel="2" x14ac:dyDescent="0.3">
      <c r="A98" t="s">
        <v>50</v>
      </c>
      <c r="B98">
        <v>13262</v>
      </c>
    </row>
    <row r="99" spans="1:2" outlineLevel="2" x14ac:dyDescent="0.3">
      <c r="A99" t="s">
        <v>50</v>
      </c>
      <c r="B99">
        <v>24229</v>
      </c>
    </row>
    <row r="100" spans="1:2" outlineLevel="2" x14ac:dyDescent="0.3">
      <c r="A100" t="s">
        <v>50</v>
      </c>
      <c r="B100">
        <v>19895</v>
      </c>
    </row>
    <row r="101" spans="1:2" outlineLevel="2" x14ac:dyDescent="0.3">
      <c r="A101" t="s">
        <v>50</v>
      </c>
      <c r="B101">
        <v>6454</v>
      </c>
    </row>
    <row r="102" spans="1:2" outlineLevel="2" x14ac:dyDescent="0.3">
      <c r="A102" t="s">
        <v>50</v>
      </c>
      <c r="B102">
        <v>11210</v>
      </c>
    </row>
    <row r="103" spans="1:2" outlineLevel="2" x14ac:dyDescent="0.3">
      <c r="A103" t="s">
        <v>50</v>
      </c>
      <c r="B103">
        <v>22176</v>
      </c>
    </row>
    <row r="104" spans="1:2" outlineLevel="2" x14ac:dyDescent="0.3">
      <c r="A104" t="s">
        <v>50</v>
      </c>
      <c r="B104">
        <v>16562</v>
      </c>
    </row>
    <row r="105" spans="1:2" outlineLevel="1" x14ac:dyDescent="0.3">
      <c r="A105" s="2" t="s">
        <v>198</v>
      </c>
      <c r="B105">
        <f>SUBTOTAL(9,B79:B104)</f>
        <v>356822</v>
      </c>
    </row>
    <row r="106" spans="1:2" x14ac:dyDescent="0.3">
      <c r="A106" s="2" t="s">
        <v>180</v>
      </c>
      <c r="B106">
        <f>SUBTOTAL(9,B2:B104)</f>
        <v>1322308</v>
      </c>
    </row>
  </sheetData>
  <autoFilter ref="A1:B1" xr:uid="{089B7574-97AF-4F55-8EC6-CBC3EB6D74FE}">
    <sortState xmlns:xlrd2="http://schemas.microsoft.com/office/spreadsheetml/2017/richdata2" ref="A2:B101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6D99-3246-44CB-9506-1EA81DBF9B83}">
  <dimension ref="A1:K105"/>
  <sheetViews>
    <sheetView topLeftCell="A11" workbookViewId="0">
      <selection activeCell="D105" sqref="D105"/>
    </sheetView>
  </sheetViews>
  <sheetFormatPr defaultRowHeight="14.4" outlineLevelRow="2" x14ac:dyDescent="0.3"/>
  <cols>
    <col min="1" max="1" width="13.109375" bestFit="1" customWidth="1"/>
    <col min="2" max="2" width="10.21875" bestFit="1" customWidth="1"/>
  </cols>
  <sheetData>
    <row r="1" spans="1:11" x14ac:dyDescent="0.3">
      <c r="A1" t="s">
        <v>4</v>
      </c>
      <c r="B1" t="s">
        <v>8</v>
      </c>
    </row>
    <row r="2" spans="1:11" outlineLevel="2" x14ac:dyDescent="0.3">
      <c r="A2" t="s">
        <v>29</v>
      </c>
      <c r="B2">
        <v>2</v>
      </c>
    </row>
    <row r="3" spans="1:11" outlineLevel="2" x14ac:dyDescent="0.3">
      <c r="A3" t="s">
        <v>29</v>
      </c>
      <c r="B3">
        <v>5</v>
      </c>
    </row>
    <row r="4" spans="1:11" outlineLevel="2" x14ac:dyDescent="0.3">
      <c r="A4" t="s">
        <v>29</v>
      </c>
      <c r="B4">
        <v>6</v>
      </c>
      <c r="K4">
        <v>5</v>
      </c>
    </row>
    <row r="5" spans="1:11" outlineLevel="2" x14ac:dyDescent="0.3">
      <c r="A5" t="s">
        <v>29</v>
      </c>
      <c r="B5">
        <v>6</v>
      </c>
    </row>
    <row r="6" spans="1:11" outlineLevel="2" x14ac:dyDescent="0.3">
      <c r="A6" t="s">
        <v>29</v>
      </c>
      <c r="B6">
        <v>1</v>
      </c>
      <c r="K6" t="s">
        <v>203</v>
      </c>
    </row>
    <row r="7" spans="1:11" outlineLevel="2" x14ac:dyDescent="0.3">
      <c r="A7" t="s">
        <v>29</v>
      </c>
      <c r="B7">
        <v>10</v>
      </c>
    </row>
    <row r="8" spans="1:11" outlineLevel="2" x14ac:dyDescent="0.3">
      <c r="A8" t="s">
        <v>29</v>
      </c>
      <c r="B8">
        <v>10</v>
      </c>
    </row>
    <row r="9" spans="1:11" outlineLevel="2" x14ac:dyDescent="0.3">
      <c r="A9" t="s">
        <v>29</v>
      </c>
      <c r="B9">
        <v>9</v>
      </c>
    </row>
    <row r="10" spans="1:11" outlineLevel="2" x14ac:dyDescent="0.3">
      <c r="A10" t="s">
        <v>29</v>
      </c>
      <c r="B10">
        <v>3</v>
      </c>
    </row>
    <row r="11" spans="1:11" outlineLevel="2" x14ac:dyDescent="0.3">
      <c r="A11" t="s">
        <v>29</v>
      </c>
      <c r="B11">
        <v>10</v>
      </c>
    </row>
    <row r="12" spans="1:11" outlineLevel="2" x14ac:dyDescent="0.3">
      <c r="A12" t="s">
        <v>29</v>
      </c>
      <c r="B12">
        <v>9</v>
      </c>
    </row>
    <row r="13" spans="1:11" outlineLevel="2" x14ac:dyDescent="0.3">
      <c r="A13" t="s">
        <v>29</v>
      </c>
      <c r="B13">
        <v>6</v>
      </c>
    </row>
    <row r="14" spans="1:11" outlineLevel="2" x14ac:dyDescent="0.3">
      <c r="A14" t="s">
        <v>29</v>
      </c>
      <c r="B14">
        <v>4</v>
      </c>
    </row>
    <row r="15" spans="1:11" outlineLevel="2" x14ac:dyDescent="0.3">
      <c r="A15" t="s">
        <v>29</v>
      </c>
      <c r="B15">
        <v>1</v>
      </c>
    </row>
    <row r="16" spans="1:11" outlineLevel="2" x14ac:dyDescent="0.3">
      <c r="A16" t="s">
        <v>29</v>
      </c>
      <c r="B16">
        <v>6</v>
      </c>
    </row>
    <row r="17" spans="1:2" outlineLevel="2" x14ac:dyDescent="0.3">
      <c r="A17" t="s">
        <v>29</v>
      </c>
      <c r="B17">
        <v>9</v>
      </c>
    </row>
    <row r="18" spans="1:2" outlineLevel="2" x14ac:dyDescent="0.3">
      <c r="A18" t="s">
        <v>29</v>
      </c>
      <c r="B18">
        <v>6</v>
      </c>
    </row>
    <row r="19" spans="1:2" outlineLevel="2" x14ac:dyDescent="0.3">
      <c r="A19" t="s">
        <v>29</v>
      </c>
      <c r="B19">
        <v>7</v>
      </c>
    </row>
    <row r="20" spans="1:2" outlineLevel="2" x14ac:dyDescent="0.3">
      <c r="A20" t="s">
        <v>29</v>
      </c>
      <c r="B20">
        <v>10</v>
      </c>
    </row>
    <row r="21" spans="1:2" outlineLevel="2" x14ac:dyDescent="0.3">
      <c r="A21" t="s">
        <v>29</v>
      </c>
      <c r="B21">
        <v>8</v>
      </c>
    </row>
    <row r="22" spans="1:2" outlineLevel="2" x14ac:dyDescent="0.3">
      <c r="A22" t="s">
        <v>29</v>
      </c>
      <c r="B22">
        <v>8</v>
      </c>
    </row>
    <row r="23" spans="1:2" outlineLevel="2" x14ac:dyDescent="0.3">
      <c r="A23" t="s">
        <v>29</v>
      </c>
      <c r="B23">
        <v>5</v>
      </c>
    </row>
    <row r="24" spans="1:2" outlineLevel="2" x14ac:dyDescent="0.3">
      <c r="A24" t="s">
        <v>29</v>
      </c>
      <c r="B24">
        <v>7</v>
      </c>
    </row>
    <row r="25" spans="1:2" outlineLevel="2" x14ac:dyDescent="0.3">
      <c r="A25" t="s">
        <v>29</v>
      </c>
      <c r="B25">
        <v>10</v>
      </c>
    </row>
    <row r="26" spans="1:2" outlineLevel="2" x14ac:dyDescent="0.3">
      <c r="A26" t="s">
        <v>29</v>
      </c>
      <c r="B26">
        <v>7</v>
      </c>
    </row>
    <row r="27" spans="1:2" outlineLevel="2" x14ac:dyDescent="0.3">
      <c r="A27" t="s">
        <v>29</v>
      </c>
      <c r="B27">
        <v>6</v>
      </c>
    </row>
    <row r="28" spans="1:2" outlineLevel="2" x14ac:dyDescent="0.3">
      <c r="A28" t="s">
        <v>29</v>
      </c>
      <c r="B28">
        <v>1</v>
      </c>
    </row>
    <row r="29" spans="1:2" outlineLevel="2" x14ac:dyDescent="0.3">
      <c r="A29" t="s">
        <v>29</v>
      </c>
      <c r="B29">
        <v>1</v>
      </c>
    </row>
    <row r="30" spans="1:2" outlineLevel="2" x14ac:dyDescent="0.3">
      <c r="A30" t="s">
        <v>29</v>
      </c>
      <c r="B30">
        <v>5</v>
      </c>
    </row>
    <row r="31" spans="1:2" outlineLevel="1" x14ac:dyDescent="0.3">
      <c r="A31" s="2" t="s">
        <v>207</v>
      </c>
      <c r="B31">
        <f>SUBTOTAL(1,B2:B30)</f>
        <v>6.1379310344827589</v>
      </c>
    </row>
    <row r="32" spans="1:2" outlineLevel="2" x14ac:dyDescent="0.3">
      <c r="A32" t="s">
        <v>16</v>
      </c>
      <c r="B32">
        <v>4</v>
      </c>
    </row>
    <row r="33" spans="1:2" outlineLevel="2" x14ac:dyDescent="0.3">
      <c r="A33" t="s">
        <v>16</v>
      </c>
      <c r="B33">
        <v>9</v>
      </c>
    </row>
    <row r="34" spans="1:2" outlineLevel="2" x14ac:dyDescent="0.3">
      <c r="A34" t="s">
        <v>16</v>
      </c>
      <c r="B34">
        <v>2</v>
      </c>
    </row>
    <row r="35" spans="1:2" outlineLevel="2" x14ac:dyDescent="0.3">
      <c r="A35" t="s">
        <v>16</v>
      </c>
      <c r="B35">
        <v>2</v>
      </c>
    </row>
    <row r="36" spans="1:2" outlineLevel="2" x14ac:dyDescent="0.3">
      <c r="A36" t="s">
        <v>16</v>
      </c>
      <c r="B36">
        <v>4</v>
      </c>
    </row>
    <row r="37" spans="1:2" outlineLevel="2" x14ac:dyDescent="0.3">
      <c r="A37" t="s">
        <v>16</v>
      </c>
      <c r="B37">
        <v>1</v>
      </c>
    </row>
    <row r="38" spans="1:2" outlineLevel="2" x14ac:dyDescent="0.3">
      <c r="A38" t="s">
        <v>16</v>
      </c>
      <c r="B38">
        <v>5</v>
      </c>
    </row>
    <row r="39" spans="1:2" outlineLevel="2" x14ac:dyDescent="0.3">
      <c r="A39" t="s">
        <v>16</v>
      </c>
      <c r="B39">
        <v>5</v>
      </c>
    </row>
    <row r="40" spans="1:2" outlineLevel="2" x14ac:dyDescent="0.3">
      <c r="A40" t="s">
        <v>16</v>
      </c>
      <c r="B40">
        <v>6</v>
      </c>
    </row>
    <row r="41" spans="1:2" outlineLevel="2" x14ac:dyDescent="0.3">
      <c r="A41" t="s">
        <v>16</v>
      </c>
      <c r="B41">
        <v>1</v>
      </c>
    </row>
    <row r="42" spans="1:2" outlineLevel="2" x14ac:dyDescent="0.3">
      <c r="A42" t="s">
        <v>16</v>
      </c>
      <c r="B42">
        <v>9</v>
      </c>
    </row>
    <row r="43" spans="1:2" outlineLevel="2" x14ac:dyDescent="0.3">
      <c r="A43" t="s">
        <v>16</v>
      </c>
      <c r="B43">
        <v>2</v>
      </c>
    </row>
    <row r="44" spans="1:2" outlineLevel="2" x14ac:dyDescent="0.3">
      <c r="A44" t="s">
        <v>16</v>
      </c>
      <c r="B44">
        <v>8</v>
      </c>
    </row>
    <row r="45" spans="1:2" outlineLevel="2" x14ac:dyDescent="0.3">
      <c r="A45" t="s">
        <v>16</v>
      </c>
      <c r="B45">
        <v>6</v>
      </c>
    </row>
    <row r="46" spans="1:2" outlineLevel="2" x14ac:dyDescent="0.3">
      <c r="A46" t="s">
        <v>16</v>
      </c>
      <c r="B46">
        <v>8</v>
      </c>
    </row>
    <row r="47" spans="1:2" outlineLevel="2" x14ac:dyDescent="0.3">
      <c r="A47" t="s">
        <v>16</v>
      </c>
      <c r="B47">
        <v>4</v>
      </c>
    </row>
    <row r="48" spans="1:2" outlineLevel="2" x14ac:dyDescent="0.3">
      <c r="A48" t="s">
        <v>16</v>
      </c>
      <c r="B48">
        <v>4</v>
      </c>
    </row>
    <row r="49" spans="1:2" outlineLevel="2" x14ac:dyDescent="0.3">
      <c r="A49" t="s">
        <v>16</v>
      </c>
      <c r="B49">
        <v>2</v>
      </c>
    </row>
    <row r="50" spans="1:2" outlineLevel="2" x14ac:dyDescent="0.3">
      <c r="A50" t="s">
        <v>16</v>
      </c>
      <c r="B50">
        <v>1</v>
      </c>
    </row>
    <row r="51" spans="1:2" outlineLevel="2" x14ac:dyDescent="0.3">
      <c r="A51" t="s">
        <v>16</v>
      </c>
      <c r="B51">
        <v>1</v>
      </c>
    </row>
    <row r="52" spans="1:2" outlineLevel="2" x14ac:dyDescent="0.3">
      <c r="A52" t="s">
        <v>16</v>
      </c>
      <c r="B52">
        <v>5</v>
      </c>
    </row>
    <row r="53" spans="1:2" outlineLevel="2" x14ac:dyDescent="0.3">
      <c r="A53" t="s">
        <v>16</v>
      </c>
      <c r="B53">
        <v>3</v>
      </c>
    </row>
    <row r="54" spans="1:2" outlineLevel="2" x14ac:dyDescent="0.3">
      <c r="A54" t="s">
        <v>16</v>
      </c>
      <c r="B54">
        <v>5</v>
      </c>
    </row>
    <row r="55" spans="1:2" outlineLevel="2" x14ac:dyDescent="0.3">
      <c r="A55" t="s">
        <v>16</v>
      </c>
      <c r="B55">
        <v>7</v>
      </c>
    </row>
    <row r="56" spans="1:2" outlineLevel="2" x14ac:dyDescent="0.3">
      <c r="A56" t="s">
        <v>16</v>
      </c>
      <c r="B56">
        <v>10</v>
      </c>
    </row>
    <row r="57" spans="1:2" outlineLevel="2" x14ac:dyDescent="0.3">
      <c r="A57" t="s">
        <v>16</v>
      </c>
      <c r="B57">
        <v>7</v>
      </c>
    </row>
    <row r="58" spans="1:2" outlineLevel="2" x14ac:dyDescent="0.3">
      <c r="A58" t="s">
        <v>16</v>
      </c>
      <c r="B58">
        <v>9</v>
      </c>
    </row>
    <row r="59" spans="1:2" outlineLevel="2" x14ac:dyDescent="0.3">
      <c r="A59" t="s">
        <v>16</v>
      </c>
      <c r="B59">
        <v>4</v>
      </c>
    </row>
    <row r="60" spans="1:2" outlineLevel="2" x14ac:dyDescent="0.3">
      <c r="A60" t="s">
        <v>16</v>
      </c>
      <c r="B60">
        <v>10</v>
      </c>
    </row>
    <row r="61" spans="1:2" outlineLevel="2" x14ac:dyDescent="0.3">
      <c r="A61" t="s">
        <v>16</v>
      </c>
      <c r="B61">
        <v>3</v>
      </c>
    </row>
    <row r="62" spans="1:2" outlineLevel="2" x14ac:dyDescent="0.3">
      <c r="A62" t="s">
        <v>16</v>
      </c>
      <c r="B62">
        <v>9</v>
      </c>
    </row>
    <row r="63" spans="1:2" outlineLevel="2" x14ac:dyDescent="0.3">
      <c r="A63" t="s">
        <v>16</v>
      </c>
      <c r="B63">
        <v>8</v>
      </c>
    </row>
    <row r="64" spans="1:2" outlineLevel="2" x14ac:dyDescent="0.3">
      <c r="A64" t="s">
        <v>16</v>
      </c>
      <c r="B64">
        <v>6</v>
      </c>
    </row>
    <row r="65" spans="1:2" outlineLevel="2" x14ac:dyDescent="0.3">
      <c r="A65" t="s">
        <v>16</v>
      </c>
      <c r="B65">
        <v>5</v>
      </c>
    </row>
    <row r="66" spans="1:2" outlineLevel="2" x14ac:dyDescent="0.3">
      <c r="A66" t="s">
        <v>16</v>
      </c>
      <c r="B66">
        <v>10</v>
      </c>
    </row>
    <row r="67" spans="1:2" outlineLevel="2" x14ac:dyDescent="0.3">
      <c r="A67" t="s">
        <v>16</v>
      </c>
      <c r="B67">
        <v>6</v>
      </c>
    </row>
    <row r="68" spans="1:2" outlineLevel="2" x14ac:dyDescent="0.3">
      <c r="A68" t="s">
        <v>16</v>
      </c>
      <c r="B68">
        <v>2</v>
      </c>
    </row>
    <row r="69" spans="1:2" outlineLevel="1" x14ac:dyDescent="0.3">
      <c r="A69" s="2" t="s">
        <v>208</v>
      </c>
      <c r="B69">
        <f>SUBTOTAL(1,B32:B68)</f>
        <v>5.2162162162162158</v>
      </c>
    </row>
    <row r="70" spans="1:2" outlineLevel="2" x14ac:dyDescent="0.3">
      <c r="A70" t="s">
        <v>12</v>
      </c>
      <c r="B70">
        <v>2</v>
      </c>
    </row>
    <row r="71" spans="1:2" outlineLevel="2" x14ac:dyDescent="0.3">
      <c r="A71" t="s">
        <v>12</v>
      </c>
      <c r="B71">
        <v>3</v>
      </c>
    </row>
    <row r="72" spans="1:2" outlineLevel="2" x14ac:dyDescent="0.3">
      <c r="A72" t="s">
        <v>12</v>
      </c>
      <c r="B72">
        <v>3</v>
      </c>
    </row>
    <row r="73" spans="1:2" outlineLevel="2" x14ac:dyDescent="0.3">
      <c r="A73" t="s">
        <v>12</v>
      </c>
      <c r="B73">
        <v>9</v>
      </c>
    </row>
    <row r="74" spans="1:2" outlineLevel="2" x14ac:dyDescent="0.3">
      <c r="A74" t="s">
        <v>12</v>
      </c>
      <c r="B74">
        <v>7</v>
      </c>
    </row>
    <row r="75" spans="1:2" outlineLevel="2" x14ac:dyDescent="0.3">
      <c r="A75" t="s">
        <v>12</v>
      </c>
      <c r="B75">
        <v>1</v>
      </c>
    </row>
    <row r="76" spans="1:2" outlineLevel="2" x14ac:dyDescent="0.3">
      <c r="A76" t="s">
        <v>12</v>
      </c>
      <c r="B76">
        <v>2</v>
      </c>
    </row>
    <row r="77" spans="1:2" outlineLevel="2" x14ac:dyDescent="0.3">
      <c r="A77" t="s">
        <v>12</v>
      </c>
      <c r="B77">
        <v>3</v>
      </c>
    </row>
    <row r="78" spans="1:2" outlineLevel="2" x14ac:dyDescent="0.3">
      <c r="A78" t="s">
        <v>12</v>
      </c>
      <c r="B78">
        <v>3</v>
      </c>
    </row>
    <row r="79" spans="1:2" outlineLevel="2" x14ac:dyDescent="0.3">
      <c r="A79" t="s">
        <v>12</v>
      </c>
      <c r="B79">
        <v>6</v>
      </c>
    </row>
    <row r="80" spans="1:2" outlineLevel="2" x14ac:dyDescent="0.3">
      <c r="A80" t="s">
        <v>12</v>
      </c>
      <c r="B80">
        <v>2</v>
      </c>
    </row>
    <row r="81" spans="1:2" outlineLevel="2" x14ac:dyDescent="0.3">
      <c r="A81" t="s">
        <v>12</v>
      </c>
      <c r="B81">
        <v>2</v>
      </c>
    </row>
    <row r="82" spans="1:2" outlineLevel="2" x14ac:dyDescent="0.3">
      <c r="A82" t="s">
        <v>12</v>
      </c>
      <c r="B82">
        <v>2</v>
      </c>
    </row>
    <row r="83" spans="1:2" outlineLevel="2" x14ac:dyDescent="0.3">
      <c r="A83" t="s">
        <v>12</v>
      </c>
      <c r="B83">
        <v>7</v>
      </c>
    </row>
    <row r="84" spans="1:2" outlineLevel="2" x14ac:dyDescent="0.3">
      <c r="A84" t="s">
        <v>12</v>
      </c>
      <c r="B84">
        <v>3</v>
      </c>
    </row>
    <row r="85" spans="1:2" outlineLevel="2" x14ac:dyDescent="0.3">
      <c r="A85" t="s">
        <v>12</v>
      </c>
      <c r="B85">
        <v>7</v>
      </c>
    </row>
    <row r="86" spans="1:2" outlineLevel="2" x14ac:dyDescent="0.3">
      <c r="A86" t="s">
        <v>12</v>
      </c>
      <c r="B86">
        <v>10</v>
      </c>
    </row>
    <row r="87" spans="1:2" outlineLevel="2" x14ac:dyDescent="0.3">
      <c r="A87" t="s">
        <v>12</v>
      </c>
      <c r="B87">
        <v>10</v>
      </c>
    </row>
    <row r="88" spans="1:2" outlineLevel="2" x14ac:dyDescent="0.3">
      <c r="A88" t="s">
        <v>12</v>
      </c>
      <c r="B88">
        <v>5</v>
      </c>
    </row>
    <row r="89" spans="1:2" outlineLevel="2" x14ac:dyDescent="0.3">
      <c r="A89" t="s">
        <v>12</v>
      </c>
      <c r="B89">
        <v>6</v>
      </c>
    </row>
    <row r="90" spans="1:2" outlineLevel="2" x14ac:dyDescent="0.3">
      <c r="A90" t="s">
        <v>12</v>
      </c>
      <c r="B90">
        <v>9</v>
      </c>
    </row>
    <row r="91" spans="1:2" outlineLevel="2" x14ac:dyDescent="0.3">
      <c r="A91" t="s">
        <v>12</v>
      </c>
      <c r="B91">
        <v>7</v>
      </c>
    </row>
    <row r="92" spans="1:2" outlineLevel="2" x14ac:dyDescent="0.3">
      <c r="A92" t="s">
        <v>12</v>
      </c>
      <c r="B92">
        <v>1</v>
      </c>
    </row>
    <row r="93" spans="1:2" outlineLevel="2" x14ac:dyDescent="0.3">
      <c r="A93" t="s">
        <v>12</v>
      </c>
      <c r="B93">
        <v>2</v>
      </c>
    </row>
    <row r="94" spans="1:2" outlineLevel="2" x14ac:dyDescent="0.3">
      <c r="A94" t="s">
        <v>12</v>
      </c>
      <c r="B94">
        <v>4</v>
      </c>
    </row>
    <row r="95" spans="1:2" outlineLevel="2" x14ac:dyDescent="0.3">
      <c r="A95" t="s">
        <v>12</v>
      </c>
      <c r="B95">
        <v>4</v>
      </c>
    </row>
    <row r="96" spans="1:2" outlineLevel="2" x14ac:dyDescent="0.3">
      <c r="A96" t="s">
        <v>12</v>
      </c>
      <c r="B96">
        <v>9</v>
      </c>
    </row>
    <row r="97" spans="1:2" outlineLevel="2" x14ac:dyDescent="0.3">
      <c r="A97" t="s">
        <v>12</v>
      </c>
      <c r="B97">
        <v>3</v>
      </c>
    </row>
    <row r="98" spans="1:2" outlineLevel="2" x14ac:dyDescent="0.3">
      <c r="A98" t="s">
        <v>12</v>
      </c>
      <c r="B98">
        <v>3</v>
      </c>
    </row>
    <row r="99" spans="1:2" outlineLevel="2" x14ac:dyDescent="0.3">
      <c r="A99" t="s">
        <v>12</v>
      </c>
      <c r="B99">
        <v>10</v>
      </c>
    </row>
    <row r="100" spans="1:2" outlineLevel="2" x14ac:dyDescent="0.3">
      <c r="A100" t="s">
        <v>12</v>
      </c>
      <c r="B100">
        <v>1</v>
      </c>
    </row>
    <row r="101" spans="1:2" outlineLevel="2" x14ac:dyDescent="0.3">
      <c r="A101" t="s">
        <v>12</v>
      </c>
      <c r="B101">
        <v>3</v>
      </c>
    </row>
    <row r="102" spans="1:2" outlineLevel="2" x14ac:dyDescent="0.3">
      <c r="A102" t="s">
        <v>12</v>
      </c>
      <c r="B102">
        <v>4</v>
      </c>
    </row>
    <row r="103" spans="1:2" outlineLevel="2" x14ac:dyDescent="0.3">
      <c r="A103" t="s">
        <v>12</v>
      </c>
      <c r="B103">
        <v>10</v>
      </c>
    </row>
    <row r="104" spans="1:2" outlineLevel="1" x14ac:dyDescent="0.3">
      <c r="A104" s="2" t="s">
        <v>209</v>
      </c>
      <c r="B104">
        <f>SUBTOTAL(1,B70:B103)</f>
        <v>4.7941176470588234</v>
      </c>
    </row>
    <row r="105" spans="1:2" x14ac:dyDescent="0.3">
      <c r="A105" s="2" t="s">
        <v>194</v>
      </c>
      <c r="B105">
        <f>SUBTOTAL(1,B2:B103)</f>
        <v>5.34</v>
      </c>
    </row>
  </sheetData>
  <autoFilter ref="A1:B1" xr:uid="{92036D99-3246-44CB-9506-1EA81DBF9B83}">
    <sortState xmlns:xlrd2="http://schemas.microsoft.com/office/spreadsheetml/2017/richdata2" ref="A2:B101">
      <sortCondition ref="A1"/>
    </sortState>
  </autoFilter>
  <conditionalFormatting sqref="B31:B104">
    <cfRule type="cellIs" dxfId="2" priority="1" operator="greaterThan">
      <formula>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F189-7754-4949-951A-F0EFED4EC3AF}">
  <dimension ref="A1:K110"/>
  <sheetViews>
    <sheetView workbookViewId="0">
      <selection activeCell="D95" sqref="D95"/>
    </sheetView>
  </sheetViews>
  <sheetFormatPr defaultRowHeight="14.4" outlineLevelRow="2" x14ac:dyDescent="0.3"/>
  <cols>
    <col min="1" max="1" width="17.109375" bestFit="1" customWidth="1"/>
    <col min="2" max="2" width="10.21875" bestFit="1" customWidth="1"/>
  </cols>
  <sheetData>
    <row r="1" spans="1:11" x14ac:dyDescent="0.3">
      <c r="A1" t="s">
        <v>3</v>
      </c>
      <c r="B1" t="s">
        <v>8</v>
      </c>
    </row>
    <row r="2" spans="1:11" hidden="1" outlineLevel="2" x14ac:dyDescent="0.3">
      <c r="A2" t="s">
        <v>35</v>
      </c>
      <c r="B2">
        <v>2</v>
      </c>
    </row>
    <row r="3" spans="1:11" hidden="1" outlineLevel="2" x14ac:dyDescent="0.3">
      <c r="A3" t="s">
        <v>35</v>
      </c>
      <c r="B3">
        <v>4</v>
      </c>
    </row>
    <row r="4" spans="1:11" hidden="1" outlineLevel="2" x14ac:dyDescent="0.3">
      <c r="A4" t="s">
        <v>35</v>
      </c>
      <c r="B4">
        <v>2</v>
      </c>
    </row>
    <row r="5" spans="1:11" hidden="1" outlineLevel="2" x14ac:dyDescent="0.3">
      <c r="A5" t="s">
        <v>35</v>
      </c>
      <c r="B5">
        <v>6</v>
      </c>
    </row>
    <row r="6" spans="1:11" hidden="1" outlineLevel="2" x14ac:dyDescent="0.3">
      <c r="A6" t="s">
        <v>35</v>
      </c>
      <c r="B6">
        <v>8</v>
      </c>
    </row>
    <row r="7" spans="1:11" hidden="1" outlineLevel="2" x14ac:dyDescent="0.3">
      <c r="A7" t="s">
        <v>35</v>
      </c>
      <c r="B7">
        <v>4</v>
      </c>
      <c r="K7" s="2"/>
    </row>
    <row r="8" spans="1:11" hidden="1" outlineLevel="2" x14ac:dyDescent="0.3">
      <c r="A8" t="s">
        <v>35</v>
      </c>
      <c r="B8">
        <v>1</v>
      </c>
      <c r="K8">
        <v>6</v>
      </c>
    </row>
    <row r="9" spans="1:11" hidden="1" outlineLevel="2" x14ac:dyDescent="0.3">
      <c r="A9" t="s">
        <v>35</v>
      </c>
      <c r="B9">
        <v>10</v>
      </c>
    </row>
    <row r="10" spans="1:11" hidden="1" outlineLevel="2" x14ac:dyDescent="0.3">
      <c r="A10" t="s">
        <v>35</v>
      </c>
      <c r="B10">
        <v>9</v>
      </c>
      <c r="K10" t="s">
        <v>210</v>
      </c>
    </row>
    <row r="11" spans="1:11" hidden="1" outlineLevel="2" x14ac:dyDescent="0.3">
      <c r="A11" t="s">
        <v>35</v>
      </c>
      <c r="B11">
        <v>5</v>
      </c>
    </row>
    <row r="12" spans="1:11" hidden="1" outlineLevel="2" x14ac:dyDescent="0.3">
      <c r="A12" t="s">
        <v>35</v>
      </c>
      <c r="B12">
        <v>1</v>
      </c>
    </row>
    <row r="13" spans="1:11" hidden="1" outlineLevel="2" x14ac:dyDescent="0.3">
      <c r="A13" t="s">
        <v>35</v>
      </c>
      <c r="B13">
        <v>1</v>
      </c>
    </row>
    <row r="14" spans="1:11" hidden="1" outlineLevel="2" x14ac:dyDescent="0.3">
      <c r="A14" t="s">
        <v>35</v>
      </c>
      <c r="B14">
        <v>3</v>
      </c>
    </row>
    <row r="15" spans="1:11" outlineLevel="1" collapsed="1" x14ac:dyDescent="0.3">
      <c r="A15" s="2" t="s">
        <v>163</v>
      </c>
      <c r="B15">
        <f>SUBTOTAL(3,B2:B14)</f>
        <v>13</v>
      </c>
    </row>
    <row r="16" spans="1:11" hidden="1" outlineLevel="2" x14ac:dyDescent="0.3">
      <c r="A16" t="s">
        <v>38</v>
      </c>
      <c r="B16">
        <v>2</v>
      </c>
    </row>
    <row r="17" spans="1:2" hidden="1" outlineLevel="2" x14ac:dyDescent="0.3">
      <c r="A17" t="s">
        <v>38</v>
      </c>
      <c r="B17">
        <v>2</v>
      </c>
    </row>
    <row r="18" spans="1:2" hidden="1" outlineLevel="2" x14ac:dyDescent="0.3">
      <c r="A18" t="s">
        <v>38</v>
      </c>
      <c r="B18">
        <v>4</v>
      </c>
    </row>
    <row r="19" spans="1:2" hidden="1" outlineLevel="2" x14ac:dyDescent="0.3">
      <c r="A19" t="s">
        <v>38</v>
      </c>
      <c r="B19">
        <v>4</v>
      </c>
    </row>
    <row r="20" spans="1:2" hidden="1" outlineLevel="2" x14ac:dyDescent="0.3">
      <c r="A20" t="s">
        <v>38</v>
      </c>
      <c r="B20">
        <v>6</v>
      </c>
    </row>
    <row r="21" spans="1:2" outlineLevel="1" collapsed="1" x14ac:dyDescent="0.3">
      <c r="A21" s="2" t="s">
        <v>164</v>
      </c>
      <c r="B21">
        <f>SUBTOTAL(3,B16:B20)</f>
        <v>5</v>
      </c>
    </row>
    <row r="22" spans="1:2" hidden="1" outlineLevel="2" x14ac:dyDescent="0.3">
      <c r="A22" t="s">
        <v>11</v>
      </c>
      <c r="B22">
        <v>2</v>
      </c>
    </row>
    <row r="23" spans="1:2" hidden="1" outlineLevel="2" x14ac:dyDescent="0.3">
      <c r="A23" t="s">
        <v>11</v>
      </c>
      <c r="B23">
        <v>4</v>
      </c>
    </row>
    <row r="24" spans="1:2" hidden="1" outlineLevel="2" x14ac:dyDescent="0.3">
      <c r="A24" t="s">
        <v>11</v>
      </c>
      <c r="B24">
        <v>5</v>
      </c>
    </row>
    <row r="25" spans="1:2" hidden="1" outlineLevel="2" x14ac:dyDescent="0.3">
      <c r="A25" t="s">
        <v>11</v>
      </c>
      <c r="B25">
        <v>6</v>
      </c>
    </row>
    <row r="26" spans="1:2" hidden="1" outlineLevel="2" x14ac:dyDescent="0.3">
      <c r="A26" t="s">
        <v>11</v>
      </c>
      <c r="B26">
        <v>2</v>
      </c>
    </row>
    <row r="27" spans="1:2" hidden="1" outlineLevel="2" x14ac:dyDescent="0.3">
      <c r="A27" t="s">
        <v>11</v>
      </c>
      <c r="B27">
        <v>5</v>
      </c>
    </row>
    <row r="28" spans="1:2" hidden="1" outlineLevel="2" x14ac:dyDescent="0.3">
      <c r="A28" t="s">
        <v>11</v>
      </c>
      <c r="B28">
        <v>6</v>
      </c>
    </row>
    <row r="29" spans="1:2" hidden="1" outlineLevel="2" x14ac:dyDescent="0.3">
      <c r="A29" t="s">
        <v>11</v>
      </c>
      <c r="B29">
        <v>10</v>
      </c>
    </row>
    <row r="30" spans="1:2" hidden="1" outlineLevel="2" x14ac:dyDescent="0.3">
      <c r="A30" t="s">
        <v>11</v>
      </c>
      <c r="B30">
        <v>3</v>
      </c>
    </row>
    <row r="31" spans="1:2" hidden="1" outlineLevel="2" x14ac:dyDescent="0.3">
      <c r="A31" t="s">
        <v>11</v>
      </c>
      <c r="B31">
        <v>8</v>
      </c>
    </row>
    <row r="32" spans="1:2" hidden="1" outlineLevel="2" x14ac:dyDescent="0.3">
      <c r="A32" t="s">
        <v>11</v>
      </c>
      <c r="B32">
        <v>7</v>
      </c>
    </row>
    <row r="33" spans="1:2" hidden="1" outlineLevel="2" x14ac:dyDescent="0.3">
      <c r="A33" t="s">
        <v>11</v>
      </c>
      <c r="B33">
        <v>3</v>
      </c>
    </row>
    <row r="34" spans="1:2" hidden="1" outlineLevel="2" x14ac:dyDescent="0.3">
      <c r="A34" t="s">
        <v>11</v>
      </c>
      <c r="B34">
        <v>4</v>
      </c>
    </row>
    <row r="35" spans="1:2" hidden="1" outlineLevel="2" x14ac:dyDescent="0.3">
      <c r="A35" t="s">
        <v>11</v>
      </c>
      <c r="B35">
        <v>6</v>
      </c>
    </row>
    <row r="36" spans="1:2" hidden="1" outlineLevel="2" x14ac:dyDescent="0.3">
      <c r="A36" t="s">
        <v>11</v>
      </c>
      <c r="B36">
        <v>9</v>
      </c>
    </row>
    <row r="37" spans="1:2" hidden="1" outlineLevel="2" x14ac:dyDescent="0.3">
      <c r="A37" t="s">
        <v>11</v>
      </c>
      <c r="B37">
        <v>1</v>
      </c>
    </row>
    <row r="38" spans="1:2" hidden="1" outlineLevel="2" x14ac:dyDescent="0.3">
      <c r="A38" t="s">
        <v>11</v>
      </c>
      <c r="B38">
        <v>7</v>
      </c>
    </row>
    <row r="39" spans="1:2" hidden="1" outlineLevel="2" x14ac:dyDescent="0.3">
      <c r="A39" t="s">
        <v>11</v>
      </c>
      <c r="B39">
        <v>10</v>
      </c>
    </row>
    <row r="40" spans="1:2" hidden="1" outlineLevel="2" x14ac:dyDescent="0.3">
      <c r="A40" t="s">
        <v>11</v>
      </c>
      <c r="B40">
        <v>6</v>
      </c>
    </row>
    <row r="41" spans="1:2" hidden="1" outlineLevel="2" x14ac:dyDescent="0.3">
      <c r="A41" t="s">
        <v>11</v>
      </c>
      <c r="B41">
        <v>2</v>
      </c>
    </row>
    <row r="42" spans="1:2" outlineLevel="1" collapsed="1" x14ac:dyDescent="0.3">
      <c r="A42" s="2" t="s">
        <v>165</v>
      </c>
      <c r="B42">
        <f>SUBTOTAL(3,B22:B41)</f>
        <v>20</v>
      </c>
    </row>
    <row r="43" spans="1:2" hidden="1" outlineLevel="2" x14ac:dyDescent="0.3">
      <c r="A43" t="s">
        <v>21</v>
      </c>
      <c r="B43">
        <v>9</v>
      </c>
    </row>
    <row r="44" spans="1:2" hidden="1" outlineLevel="2" x14ac:dyDescent="0.3">
      <c r="A44" t="s">
        <v>21</v>
      </c>
      <c r="B44">
        <v>9</v>
      </c>
    </row>
    <row r="45" spans="1:2" hidden="1" outlineLevel="2" x14ac:dyDescent="0.3">
      <c r="A45" t="s">
        <v>21</v>
      </c>
      <c r="B45">
        <v>1</v>
      </c>
    </row>
    <row r="46" spans="1:2" hidden="1" outlineLevel="2" x14ac:dyDescent="0.3">
      <c r="A46" t="s">
        <v>21</v>
      </c>
      <c r="B46">
        <v>5</v>
      </c>
    </row>
    <row r="47" spans="1:2" hidden="1" outlineLevel="2" x14ac:dyDescent="0.3">
      <c r="A47" t="s">
        <v>21</v>
      </c>
      <c r="B47">
        <v>10</v>
      </c>
    </row>
    <row r="48" spans="1:2" hidden="1" outlineLevel="2" x14ac:dyDescent="0.3">
      <c r="A48" t="s">
        <v>21</v>
      </c>
      <c r="B48">
        <v>1</v>
      </c>
    </row>
    <row r="49" spans="1:2" hidden="1" outlineLevel="2" x14ac:dyDescent="0.3">
      <c r="A49" t="s">
        <v>21</v>
      </c>
      <c r="B49">
        <v>1</v>
      </c>
    </row>
    <row r="50" spans="1:2" hidden="1" outlineLevel="2" x14ac:dyDescent="0.3">
      <c r="A50" t="s">
        <v>21</v>
      </c>
      <c r="B50">
        <v>6</v>
      </c>
    </row>
    <row r="51" spans="1:2" hidden="1" outlineLevel="2" x14ac:dyDescent="0.3">
      <c r="A51" t="s">
        <v>21</v>
      </c>
      <c r="B51">
        <v>9</v>
      </c>
    </row>
    <row r="52" spans="1:2" hidden="1" outlineLevel="2" x14ac:dyDescent="0.3">
      <c r="A52" t="s">
        <v>21</v>
      </c>
      <c r="B52">
        <v>6</v>
      </c>
    </row>
    <row r="53" spans="1:2" hidden="1" outlineLevel="2" x14ac:dyDescent="0.3">
      <c r="A53" t="s">
        <v>21</v>
      </c>
      <c r="B53">
        <v>3</v>
      </c>
    </row>
    <row r="54" spans="1:2" hidden="1" outlineLevel="2" x14ac:dyDescent="0.3">
      <c r="A54" t="s">
        <v>21</v>
      </c>
      <c r="B54">
        <v>5</v>
      </c>
    </row>
    <row r="55" spans="1:2" hidden="1" outlineLevel="2" x14ac:dyDescent="0.3">
      <c r="A55" t="s">
        <v>21</v>
      </c>
      <c r="B55">
        <v>4</v>
      </c>
    </row>
    <row r="56" spans="1:2" outlineLevel="1" collapsed="1" x14ac:dyDescent="0.3">
      <c r="A56" s="2" t="s">
        <v>166</v>
      </c>
      <c r="B56">
        <f>SUBTOTAL(3,B43:B55)</f>
        <v>13</v>
      </c>
    </row>
    <row r="57" spans="1:2" hidden="1" outlineLevel="2" x14ac:dyDescent="0.3">
      <c r="A57" t="s">
        <v>53</v>
      </c>
      <c r="B57">
        <v>7</v>
      </c>
    </row>
    <row r="58" spans="1:2" hidden="1" outlineLevel="2" x14ac:dyDescent="0.3">
      <c r="A58" t="s">
        <v>53</v>
      </c>
      <c r="B58">
        <v>1</v>
      </c>
    </row>
    <row r="59" spans="1:2" hidden="1" outlineLevel="2" x14ac:dyDescent="0.3">
      <c r="A59" t="s">
        <v>53</v>
      </c>
      <c r="B59">
        <v>9</v>
      </c>
    </row>
    <row r="60" spans="1:2" hidden="1" outlineLevel="2" x14ac:dyDescent="0.3">
      <c r="A60" t="s">
        <v>53</v>
      </c>
      <c r="B60">
        <v>9</v>
      </c>
    </row>
    <row r="61" spans="1:2" hidden="1" outlineLevel="2" x14ac:dyDescent="0.3">
      <c r="A61" t="s">
        <v>53</v>
      </c>
      <c r="B61">
        <v>10</v>
      </c>
    </row>
    <row r="62" spans="1:2" hidden="1" outlineLevel="2" x14ac:dyDescent="0.3">
      <c r="A62" t="s">
        <v>53</v>
      </c>
      <c r="B62">
        <v>9</v>
      </c>
    </row>
    <row r="63" spans="1:2" hidden="1" outlineLevel="2" x14ac:dyDescent="0.3">
      <c r="A63" t="s">
        <v>53</v>
      </c>
      <c r="B63">
        <v>6</v>
      </c>
    </row>
    <row r="64" spans="1:2" hidden="1" outlineLevel="2" x14ac:dyDescent="0.3">
      <c r="A64" t="s">
        <v>53</v>
      </c>
      <c r="B64">
        <v>4</v>
      </c>
    </row>
    <row r="65" spans="1:2" hidden="1" outlineLevel="2" x14ac:dyDescent="0.3">
      <c r="A65" t="s">
        <v>53</v>
      </c>
      <c r="B65">
        <v>7</v>
      </c>
    </row>
    <row r="66" spans="1:2" hidden="1" outlineLevel="2" x14ac:dyDescent="0.3">
      <c r="A66" t="s">
        <v>53</v>
      </c>
      <c r="B66">
        <v>4</v>
      </c>
    </row>
    <row r="67" spans="1:2" hidden="1" outlineLevel="2" x14ac:dyDescent="0.3">
      <c r="A67" t="s">
        <v>53</v>
      </c>
      <c r="B67">
        <v>6</v>
      </c>
    </row>
    <row r="68" spans="1:2" outlineLevel="1" collapsed="1" x14ac:dyDescent="0.3">
      <c r="A68" s="2" t="s">
        <v>167</v>
      </c>
      <c r="B68">
        <f>SUBTOTAL(3,B57:B67)</f>
        <v>11</v>
      </c>
    </row>
    <row r="69" spans="1:2" hidden="1" outlineLevel="2" x14ac:dyDescent="0.3">
      <c r="A69" t="s">
        <v>69</v>
      </c>
      <c r="B69">
        <v>2</v>
      </c>
    </row>
    <row r="70" spans="1:2" hidden="1" outlineLevel="2" x14ac:dyDescent="0.3">
      <c r="A70" t="s">
        <v>69</v>
      </c>
      <c r="B70">
        <v>2</v>
      </c>
    </row>
    <row r="71" spans="1:2" hidden="1" outlineLevel="2" x14ac:dyDescent="0.3">
      <c r="A71" t="s">
        <v>69</v>
      </c>
      <c r="B71">
        <v>10</v>
      </c>
    </row>
    <row r="72" spans="1:2" hidden="1" outlineLevel="2" x14ac:dyDescent="0.3">
      <c r="A72" t="s">
        <v>69</v>
      </c>
      <c r="B72">
        <v>10</v>
      </c>
    </row>
    <row r="73" spans="1:2" hidden="1" outlineLevel="2" x14ac:dyDescent="0.3">
      <c r="A73" t="s">
        <v>69</v>
      </c>
      <c r="B73">
        <v>10</v>
      </c>
    </row>
    <row r="74" spans="1:2" hidden="1" outlineLevel="2" x14ac:dyDescent="0.3">
      <c r="A74" t="s">
        <v>69</v>
      </c>
      <c r="B74">
        <v>3</v>
      </c>
    </row>
    <row r="75" spans="1:2" hidden="1" outlineLevel="2" x14ac:dyDescent="0.3">
      <c r="A75" t="s">
        <v>69</v>
      </c>
      <c r="B75">
        <v>9</v>
      </c>
    </row>
    <row r="76" spans="1:2" hidden="1" outlineLevel="2" x14ac:dyDescent="0.3">
      <c r="A76" t="s">
        <v>69</v>
      </c>
      <c r="B76">
        <v>8</v>
      </c>
    </row>
    <row r="77" spans="1:2" hidden="1" outlineLevel="2" x14ac:dyDescent="0.3">
      <c r="A77" t="s">
        <v>69</v>
      </c>
      <c r="B77">
        <v>10</v>
      </c>
    </row>
    <row r="78" spans="1:2" hidden="1" outlineLevel="2" x14ac:dyDescent="0.3">
      <c r="A78" t="s">
        <v>69</v>
      </c>
      <c r="B78">
        <v>3</v>
      </c>
    </row>
    <row r="79" spans="1:2" hidden="1" outlineLevel="2" x14ac:dyDescent="0.3">
      <c r="A79" t="s">
        <v>69</v>
      </c>
      <c r="B79">
        <v>10</v>
      </c>
    </row>
    <row r="80" spans="1:2" hidden="1" outlineLevel="2" x14ac:dyDescent="0.3">
      <c r="A80" t="s">
        <v>69</v>
      </c>
      <c r="B80">
        <v>10</v>
      </c>
    </row>
    <row r="81" spans="1:2" outlineLevel="1" collapsed="1" x14ac:dyDescent="0.3">
      <c r="A81" s="2" t="s">
        <v>168</v>
      </c>
      <c r="B81">
        <f>SUBTOTAL(3,B69:B80)</f>
        <v>12</v>
      </c>
    </row>
    <row r="82" spans="1:2" hidden="1" outlineLevel="2" x14ac:dyDescent="0.3">
      <c r="A82" t="s">
        <v>45</v>
      </c>
      <c r="B82">
        <v>3</v>
      </c>
    </row>
    <row r="83" spans="1:2" hidden="1" outlineLevel="2" x14ac:dyDescent="0.3">
      <c r="A83" t="s">
        <v>45</v>
      </c>
      <c r="B83">
        <v>6</v>
      </c>
    </row>
    <row r="84" spans="1:2" hidden="1" outlineLevel="2" x14ac:dyDescent="0.3">
      <c r="A84" t="s">
        <v>45</v>
      </c>
      <c r="B84">
        <v>1</v>
      </c>
    </row>
    <row r="85" spans="1:2" hidden="1" outlineLevel="2" x14ac:dyDescent="0.3">
      <c r="A85" t="s">
        <v>45</v>
      </c>
      <c r="B85">
        <v>2</v>
      </c>
    </row>
    <row r="86" spans="1:2" hidden="1" outlineLevel="2" x14ac:dyDescent="0.3">
      <c r="A86" t="s">
        <v>45</v>
      </c>
      <c r="B86">
        <v>5</v>
      </c>
    </row>
    <row r="87" spans="1:2" hidden="1" outlineLevel="2" x14ac:dyDescent="0.3">
      <c r="A87" t="s">
        <v>45</v>
      </c>
      <c r="B87">
        <v>7</v>
      </c>
    </row>
    <row r="88" spans="1:2" hidden="1" outlineLevel="2" x14ac:dyDescent="0.3">
      <c r="A88" t="s">
        <v>45</v>
      </c>
      <c r="B88">
        <v>5</v>
      </c>
    </row>
    <row r="89" spans="1:2" hidden="1" outlineLevel="2" x14ac:dyDescent="0.3">
      <c r="A89" t="s">
        <v>45</v>
      </c>
      <c r="B89">
        <v>2</v>
      </c>
    </row>
    <row r="90" spans="1:2" hidden="1" outlineLevel="2" x14ac:dyDescent="0.3">
      <c r="A90" t="s">
        <v>45</v>
      </c>
      <c r="B90">
        <v>3</v>
      </c>
    </row>
    <row r="91" spans="1:2" hidden="1" outlineLevel="2" x14ac:dyDescent="0.3">
      <c r="A91" t="s">
        <v>45</v>
      </c>
      <c r="B91">
        <v>10</v>
      </c>
    </row>
    <row r="92" spans="1:2" hidden="1" outlineLevel="2" x14ac:dyDescent="0.3">
      <c r="A92" t="s">
        <v>45</v>
      </c>
      <c r="B92">
        <v>7</v>
      </c>
    </row>
    <row r="93" spans="1:2" hidden="1" outlineLevel="2" x14ac:dyDescent="0.3">
      <c r="A93" t="s">
        <v>45</v>
      </c>
      <c r="B93">
        <v>8</v>
      </c>
    </row>
    <row r="94" spans="1:2" hidden="1" outlineLevel="2" x14ac:dyDescent="0.3">
      <c r="A94" t="s">
        <v>45</v>
      </c>
      <c r="B94">
        <v>7</v>
      </c>
    </row>
    <row r="95" spans="1:2" outlineLevel="1" collapsed="1" x14ac:dyDescent="0.3">
      <c r="A95" s="2" t="s">
        <v>169</v>
      </c>
      <c r="B95">
        <f>SUBTOTAL(3,B82:B94)</f>
        <v>13</v>
      </c>
    </row>
    <row r="96" spans="1:2" hidden="1" outlineLevel="2" x14ac:dyDescent="0.3">
      <c r="A96" t="s">
        <v>25</v>
      </c>
      <c r="B96">
        <v>3</v>
      </c>
    </row>
    <row r="97" spans="1:2" hidden="1" outlineLevel="2" x14ac:dyDescent="0.3">
      <c r="A97" t="s">
        <v>25</v>
      </c>
      <c r="B97">
        <v>2</v>
      </c>
    </row>
    <row r="98" spans="1:2" hidden="1" outlineLevel="2" x14ac:dyDescent="0.3">
      <c r="A98" t="s">
        <v>25</v>
      </c>
      <c r="B98">
        <v>1</v>
      </c>
    </row>
    <row r="99" spans="1:2" hidden="1" outlineLevel="2" x14ac:dyDescent="0.3">
      <c r="A99" t="s">
        <v>25</v>
      </c>
      <c r="B99">
        <v>3</v>
      </c>
    </row>
    <row r="100" spans="1:2" hidden="1" outlineLevel="2" x14ac:dyDescent="0.3">
      <c r="A100" t="s">
        <v>25</v>
      </c>
      <c r="B100">
        <v>6</v>
      </c>
    </row>
    <row r="101" spans="1:2" hidden="1" outlineLevel="2" x14ac:dyDescent="0.3">
      <c r="A101" t="s">
        <v>25</v>
      </c>
      <c r="B101">
        <v>3</v>
      </c>
    </row>
    <row r="102" spans="1:2" hidden="1" outlineLevel="2" x14ac:dyDescent="0.3">
      <c r="A102" t="s">
        <v>25</v>
      </c>
      <c r="B102">
        <v>7</v>
      </c>
    </row>
    <row r="103" spans="1:2" hidden="1" outlineLevel="2" x14ac:dyDescent="0.3">
      <c r="A103" t="s">
        <v>25</v>
      </c>
      <c r="B103">
        <v>5</v>
      </c>
    </row>
    <row r="104" spans="1:2" hidden="1" outlineLevel="2" x14ac:dyDescent="0.3">
      <c r="A104" t="s">
        <v>25</v>
      </c>
      <c r="B104">
        <v>9</v>
      </c>
    </row>
    <row r="105" spans="1:2" hidden="1" outlineLevel="2" x14ac:dyDescent="0.3">
      <c r="A105" t="s">
        <v>25</v>
      </c>
      <c r="B105">
        <v>8</v>
      </c>
    </row>
    <row r="106" spans="1:2" hidden="1" outlineLevel="2" x14ac:dyDescent="0.3">
      <c r="A106" t="s">
        <v>25</v>
      </c>
      <c r="B106">
        <v>7</v>
      </c>
    </row>
    <row r="107" spans="1:2" hidden="1" outlineLevel="2" x14ac:dyDescent="0.3">
      <c r="A107" t="s">
        <v>25</v>
      </c>
      <c r="B107">
        <v>1</v>
      </c>
    </row>
    <row r="108" spans="1:2" hidden="1" outlineLevel="2" x14ac:dyDescent="0.3">
      <c r="A108" t="s">
        <v>25</v>
      </c>
      <c r="B108">
        <v>5</v>
      </c>
    </row>
    <row r="109" spans="1:2" outlineLevel="1" collapsed="1" x14ac:dyDescent="0.3">
      <c r="A109" s="2" t="s">
        <v>170</v>
      </c>
      <c r="B109">
        <f>SUBTOTAL(3,B96:B108)</f>
        <v>13</v>
      </c>
    </row>
    <row r="110" spans="1:2" x14ac:dyDescent="0.3">
      <c r="A110" s="2" t="s">
        <v>171</v>
      </c>
      <c r="B110">
        <f>SUBTOTAL(3,B2:B108)</f>
        <v>100</v>
      </c>
    </row>
  </sheetData>
  <autoFilter ref="A1:B1" xr:uid="{83ECF189-7754-4949-951A-F0EFED4EC3AF}">
    <sortState xmlns:xlrd2="http://schemas.microsoft.com/office/spreadsheetml/2017/richdata2" ref="A2:B101">
      <sortCondition ref="A1"/>
    </sortState>
  </autoFilter>
  <conditionalFormatting sqref="B15:B109">
    <cfRule type="top10" dxfId="1" priority="1" rank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9F45-96D7-4E8C-B6A4-455332927164}">
  <dimension ref="A1:J105"/>
  <sheetViews>
    <sheetView workbookViewId="0">
      <selection activeCell="F104" sqref="F104"/>
    </sheetView>
  </sheetViews>
  <sheetFormatPr defaultRowHeight="14.4" outlineLevelRow="2" x14ac:dyDescent="0.3"/>
  <cols>
    <col min="1" max="1" width="13.109375" bestFit="1" customWidth="1"/>
    <col min="2" max="2" width="7.33203125" bestFit="1" customWidth="1"/>
    <col min="3" max="3" width="10.21875" bestFit="1" customWidth="1"/>
  </cols>
  <sheetData>
    <row r="1" spans="1:10" x14ac:dyDescent="0.3">
      <c r="A1" t="s">
        <v>4</v>
      </c>
      <c r="B1" t="s">
        <v>7</v>
      </c>
      <c r="C1" t="s">
        <v>8</v>
      </c>
    </row>
    <row r="2" spans="1:10" hidden="1" outlineLevel="2" x14ac:dyDescent="0.3">
      <c r="A2" t="s">
        <v>29</v>
      </c>
      <c r="B2">
        <v>11529</v>
      </c>
      <c r="C2">
        <v>2</v>
      </c>
    </row>
    <row r="3" spans="1:10" hidden="1" outlineLevel="2" x14ac:dyDescent="0.3">
      <c r="A3" t="s">
        <v>29</v>
      </c>
      <c r="B3">
        <v>20282</v>
      </c>
      <c r="C3">
        <v>5</v>
      </c>
    </row>
    <row r="4" spans="1:10" hidden="1" outlineLevel="2" x14ac:dyDescent="0.3">
      <c r="A4" t="s">
        <v>29</v>
      </c>
      <c r="B4">
        <v>5829</v>
      </c>
      <c r="C4">
        <v>6</v>
      </c>
    </row>
    <row r="5" spans="1:10" hidden="1" outlineLevel="2" x14ac:dyDescent="0.3">
      <c r="A5" t="s">
        <v>29</v>
      </c>
      <c r="B5">
        <v>19085</v>
      </c>
      <c r="C5">
        <v>6</v>
      </c>
      <c r="J5">
        <v>7</v>
      </c>
    </row>
    <row r="6" spans="1:10" hidden="1" outlineLevel="2" x14ac:dyDescent="0.3">
      <c r="A6" t="s">
        <v>29</v>
      </c>
      <c r="B6">
        <v>18628</v>
      </c>
      <c r="C6">
        <v>1</v>
      </c>
    </row>
    <row r="7" spans="1:10" hidden="1" outlineLevel="2" x14ac:dyDescent="0.3">
      <c r="A7" t="s">
        <v>29</v>
      </c>
      <c r="B7">
        <v>8392</v>
      </c>
      <c r="C7">
        <v>10</v>
      </c>
      <c r="J7" t="s">
        <v>211</v>
      </c>
    </row>
    <row r="8" spans="1:10" hidden="1" outlineLevel="2" x14ac:dyDescent="0.3">
      <c r="A8" t="s">
        <v>29</v>
      </c>
      <c r="B8">
        <v>24202</v>
      </c>
      <c r="C8">
        <v>10</v>
      </c>
    </row>
    <row r="9" spans="1:10" hidden="1" outlineLevel="2" x14ac:dyDescent="0.3">
      <c r="A9" t="s">
        <v>29</v>
      </c>
      <c r="B9">
        <v>15020</v>
      </c>
      <c r="C9">
        <v>9</v>
      </c>
    </row>
    <row r="10" spans="1:10" hidden="1" outlineLevel="2" x14ac:dyDescent="0.3">
      <c r="A10" t="s">
        <v>29</v>
      </c>
      <c r="B10">
        <v>2421</v>
      </c>
      <c r="C10">
        <v>3</v>
      </c>
    </row>
    <row r="11" spans="1:10" hidden="1" outlineLevel="2" x14ac:dyDescent="0.3">
      <c r="A11" t="s">
        <v>29</v>
      </c>
      <c r="B11">
        <v>20854</v>
      </c>
      <c r="C11">
        <v>10</v>
      </c>
    </row>
    <row r="12" spans="1:10" hidden="1" outlineLevel="2" x14ac:dyDescent="0.3">
      <c r="A12" t="s">
        <v>29</v>
      </c>
      <c r="B12">
        <v>24827</v>
      </c>
      <c r="C12">
        <v>9</v>
      </c>
    </row>
    <row r="13" spans="1:10" hidden="1" outlineLevel="2" x14ac:dyDescent="0.3">
      <c r="A13" t="s">
        <v>29</v>
      </c>
      <c r="B13">
        <v>24014</v>
      </c>
      <c r="C13">
        <v>6</v>
      </c>
    </row>
    <row r="14" spans="1:10" hidden="1" outlineLevel="2" x14ac:dyDescent="0.3">
      <c r="A14" t="s">
        <v>29</v>
      </c>
      <c r="B14">
        <v>13991</v>
      </c>
      <c r="C14">
        <v>4</v>
      </c>
    </row>
    <row r="15" spans="1:10" hidden="1" outlineLevel="2" x14ac:dyDescent="0.3">
      <c r="A15" t="s">
        <v>29</v>
      </c>
      <c r="B15">
        <v>7804</v>
      </c>
      <c r="C15">
        <v>1</v>
      </c>
    </row>
    <row r="16" spans="1:10" hidden="1" outlineLevel="2" x14ac:dyDescent="0.3">
      <c r="A16" t="s">
        <v>29</v>
      </c>
      <c r="B16">
        <v>9646</v>
      </c>
      <c r="C16">
        <v>6</v>
      </c>
    </row>
    <row r="17" spans="1:3" hidden="1" outlineLevel="2" x14ac:dyDescent="0.3">
      <c r="A17" t="s">
        <v>29</v>
      </c>
      <c r="B17">
        <v>555</v>
      </c>
      <c r="C17">
        <v>9</v>
      </c>
    </row>
    <row r="18" spans="1:3" hidden="1" outlineLevel="2" x14ac:dyDescent="0.3">
      <c r="A18" t="s">
        <v>29</v>
      </c>
      <c r="B18">
        <v>20919</v>
      </c>
      <c r="C18">
        <v>6</v>
      </c>
    </row>
    <row r="19" spans="1:3" hidden="1" outlineLevel="2" x14ac:dyDescent="0.3">
      <c r="A19" t="s">
        <v>29</v>
      </c>
      <c r="B19">
        <v>6786</v>
      </c>
      <c r="C19">
        <v>7</v>
      </c>
    </row>
    <row r="20" spans="1:3" hidden="1" outlineLevel="2" x14ac:dyDescent="0.3">
      <c r="A20" t="s">
        <v>29</v>
      </c>
      <c r="B20">
        <v>19504</v>
      </c>
      <c r="C20">
        <v>10</v>
      </c>
    </row>
    <row r="21" spans="1:3" hidden="1" outlineLevel="2" x14ac:dyDescent="0.3">
      <c r="A21" t="s">
        <v>29</v>
      </c>
      <c r="B21">
        <v>17250</v>
      </c>
      <c r="C21">
        <v>8</v>
      </c>
    </row>
    <row r="22" spans="1:3" hidden="1" outlineLevel="2" x14ac:dyDescent="0.3">
      <c r="A22" t="s">
        <v>29</v>
      </c>
      <c r="B22">
        <v>17581</v>
      </c>
      <c r="C22">
        <v>8</v>
      </c>
    </row>
    <row r="23" spans="1:3" hidden="1" outlineLevel="2" x14ac:dyDescent="0.3">
      <c r="A23" t="s">
        <v>29</v>
      </c>
      <c r="B23">
        <v>8183</v>
      </c>
      <c r="C23">
        <v>5</v>
      </c>
    </row>
    <row r="24" spans="1:3" hidden="1" outlineLevel="2" x14ac:dyDescent="0.3">
      <c r="A24" t="s">
        <v>29</v>
      </c>
      <c r="B24">
        <v>8077</v>
      </c>
      <c r="C24">
        <v>7</v>
      </c>
    </row>
    <row r="25" spans="1:3" hidden="1" outlineLevel="2" x14ac:dyDescent="0.3">
      <c r="A25" t="s">
        <v>29</v>
      </c>
      <c r="B25">
        <v>13262</v>
      </c>
      <c r="C25">
        <v>10</v>
      </c>
    </row>
    <row r="26" spans="1:3" hidden="1" outlineLevel="2" x14ac:dyDescent="0.3">
      <c r="A26" t="s">
        <v>29</v>
      </c>
      <c r="B26">
        <v>9443</v>
      </c>
      <c r="C26">
        <v>7</v>
      </c>
    </row>
    <row r="27" spans="1:3" hidden="1" outlineLevel="2" x14ac:dyDescent="0.3">
      <c r="A27" t="s">
        <v>29</v>
      </c>
      <c r="B27">
        <v>11210</v>
      </c>
      <c r="C27">
        <v>6</v>
      </c>
    </row>
    <row r="28" spans="1:3" hidden="1" outlineLevel="2" x14ac:dyDescent="0.3">
      <c r="A28" t="s">
        <v>29</v>
      </c>
      <c r="B28">
        <v>15911</v>
      </c>
      <c r="C28">
        <v>1</v>
      </c>
    </row>
    <row r="29" spans="1:3" hidden="1" outlineLevel="2" x14ac:dyDescent="0.3">
      <c r="A29" t="s">
        <v>29</v>
      </c>
      <c r="B29">
        <v>21856</v>
      </c>
      <c r="C29">
        <v>1</v>
      </c>
    </row>
    <row r="30" spans="1:3" hidden="1" outlineLevel="2" x14ac:dyDescent="0.3">
      <c r="A30" t="s">
        <v>29</v>
      </c>
      <c r="B30">
        <v>3839</v>
      </c>
      <c r="C30">
        <v>5</v>
      </c>
    </row>
    <row r="31" spans="1:3" outlineLevel="1" collapsed="1" x14ac:dyDescent="0.3">
      <c r="A31" s="2" t="s">
        <v>204</v>
      </c>
      <c r="B31">
        <f>SUBTOTAL(9,B2:B30)</f>
        <v>400900</v>
      </c>
      <c r="C31">
        <f>SUBTOTAL(9,C2:C30)</f>
        <v>178</v>
      </c>
    </row>
    <row r="32" spans="1:3" hidden="1" outlineLevel="2" x14ac:dyDescent="0.3">
      <c r="A32" t="s">
        <v>16</v>
      </c>
      <c r="B32">
        <v>3570</v>
      </c>
      <c r="C32">
        <v>4</v>
      </c>
    </row>
    <row r="33" spans="1:3" hidden="1" outlineLevel="2" x14ac:dyDescent="0.3">
      <c r="A33" t="s">
        <v>16</v>
      </c>
      <c r="B33">
        <v>23962</v>
      </c>
      <c r="C33">
        <v>9</v>
      </c>
    </row>
    <row r="34" spans="1:3" hidden="1" outlineLevel="2" x14ac:dyDescent="0.3">
      <c r="A34" t="s">
        <v>16</v>
      </c>
      <c r="B34">
        <v>12903</v>
      </c>
      <c r="C34">
        <v>2</v>
      </c>
    </row>
    <row r="35" spans="1:3" hidden="1" outlineLevel="2" x14ac:dyDescent="0.3">
      <c r="A35" t="s">
        <v>16</v>
      </c>
      <c r="B35">
        <v>23587</v>
      </c>
      <c r="C35">
        <v>2</v>
      </c>
    </row>
    <row r="36" spans="1:3" hidden="1" outlineLevel="2" x14ac:dyDescent="0.3">
      <c r="A36" t="s">
        <v>16</v>
      </c>
      <c r="B36">
        <v>3114</v>
      </c>
      <c r="C36">
        <v>4</v>
      </c>
    </row>
    <row r="37" spans="1:3" hidden="1" outlineLevel="2" x14ac:dyDescent="0.3">
      <c r="A37" t="s">
        <v>16</v>
      </c>
      <c r="B37">
        <v>8005</v>
      </c>
      <c r="C37">
        <v>1</v>
      </c>
    </row>
    <row r="38" spans="1:3" hidden="1" outlineLevel="2" x14ac:dyDescent="0.3">
      <c r="A38" t="s">
        <v>16</v>
      </c>
      <c r="B38">
        <v>5181</v>
      </c>
      <c r="C38">
        <v>5</v>
      </c>
    </row>
    <row r="39" spans="1:3" hidden="1" outlineLevel="2" x14ac:dyDescent="0.3">
      <c r="A39" t="s">
        <v>16</v>
      </c>
      <c r="B39">
        <v>4155</v>
      </c>
      <c r="C39">
        <v>5</v>
      </c>
    </row>
    <row r="40" spans="1:3" hidden="1" outlineLevel="2" x14ac:dyDescent="0.3">
      <c r="A40" t="s">
        <v>16</v>
      </c>
      <c r="B40">
        <v>5508</v>
      </c>
      <c r="C40">
        <v>6</v>
      </c>
    </row>
    <row r="41" spans="1:3" hidden="1" outlineLevel="2" x14ac:dyDescent="0.3">
      <c r="A41" t="s">
        <v>16</v>
      </c>
      <c r="B41">
        <v>16510</v>
      </c>
      <c r="C41">
        <v>1</v>
      </c>
    </row>
    <row r="42" spans="1:3" hidden="1" outlineLevel="2" x14ac:dyDescent="0.3">
      <c r="A42" t="s">
        <v>16</v>
      </c>
      <c r="B42">
        <v>9185</v>
      </c>
      <c r="C42">
        <v>9</v>
      </c>
    </row>
    <row r="43" spans="1:3" hidden="1" outlineLevel="2" x14ac:dyDescent="0.3">
      <c r="A43" t="s">
        <v>16</v>
      </c>
      <c r="B43">
        <v>7862</v>
      </c>
      <c r="C43">
        <v>2</v>
      </c>
    </row>
    <row r="44" spans="1:3" hidden="1" outlineLevel="2" x14ac:dyDescent="0.3">
      <c r="A44" t="s">
        <v>16</v>
      </c>
      <c r="B44">
        <v>13970</v>
      </c>
      <c r="C44">
        <v>8</v>
      </c>
    </row>
    <row r="45" spans="1:3" hidden="1" outlineLevel="2" x14ac:dyDescent="0.3">
      <c r="A45" t="s">
        <v>16</v>
      </c>
      <c r="B45">
        <v>24362</v>
      </c>
      <c r="C45">
        <v>6</v>
      </c>
    </row>
    <row r="46" spans="1:3" hidden="1" outlineLevel="2" x14ac:dyDescent="0.3">
      <c r="A46" t="s">
        <v>16</v>
      </c>
      <c r="B46">
        <v>19642</v>
      </c>
      <c r="C46">
        <v>8</v>
      </c>
    </row>
    <row r="47" spans="1:3" hidden="1" outlineLevel="2" x14ac:dyDescent="0.3">
      <c r="A47" t="s">
        <v>16</v>
      </c>
      <c r="B47">
        <v>19167</v>
      </c>
      <c r="C47">
        <v>4</v>
      </c>
    </row>
    <row r="48" spans="1:3" hidden="1" outlineLevel="2" x14ac:dyDescent="0.3">
      <c r="A48" t="s">
        <v>16</v>
      </c>
      <c r="B48">
        <v>9044</v>
      </c>
      <c r="C48">
        <v>4</v>
      </c>
    </row>
    <row r="49" spans="1:3" hidden="1" outlineLevel="2" x14ac:dyDescent="0.3">
      <c r="A49" t="s">
        <v>16</v>
      </c>
      <c r="B49">
        <v>22237</v>
      </c>
      <c r="C49">
        <v>2</v>
      </c>
    </row>
    <row r="50" spans="1:3" hidden="1" outlineLevel="2" x14ac:dyDescent="0.3">
      <c r="A50" t="s">
        <v>16</v>
      </c>
      <c r="B50">
        <v>8728</v>
      </c>
      <c r="C50">
        <v>1</v>
      </c>
    </row>
    <row r="51" spans="1:3" hidden="1" outlineLevel="2" x14ac:dyDescent="0.3">
      <c r="A51" t="s">
        <v>16</v>
      </c>
      <c r="B51">
        <v>1944</v>
      </c>
      <c r="C51">
        <v>1</v>
      </c>
    </row>
    <row r="52" spans="1:3" hidden="1" outlineLevel="2" x14ac:dyDescent="0.3">
      <c r="A52" t="s">
        <v>16</v>
      </c>
      <c r="B52">
        <v>1870</v>
      </c>
      <c r="C52">
        <v>5</v>
      </c>
    </row>
    <row r="53" spans="1:3" hidden="1" outlineLevel="2" x14ac:dyDescent="0.3">
      <c r="A53" t="s">
        <v>16</v>
      </c>
      <c r="B53">
        <v>8257</v>
      </c>
      <c r="C53">
        <v>3</v>
      </c>
    </row>
    <row r="54" spans="1:3" hidden="1" outlineLevel="2" x14ac:dyDescent="0.3">
      <c r="A54" t="s">
        <v>16</v>
      </c>
      <c r="B54">
        <v>4279</v>
      </c>
      <c r="C54">
        <v>5</v>
      </c>
    </row>
    <row r="55" spans="1:3" hidden="1" outlineLevel="2" x14ac:dyDescent="0.3">
      <c r="A55" t="s">
        <v>16</v>
      </c>
      <c r="B55">
        <v>20048</v>
      </c>
      <c r="C55">
        <v>7</v>
      </c>
    </row>
    <row r="56" spans="1:3" hidden="1" outlineLevel="2" x14ac:dyDescent="0.3">
      <c r="A56" t="s">
        <v>16</v>
      </c>
      <c r="B56">
        <v>13122</v>
      </c>
      <c r="C56">
        <v>10</v>
      </c>
    </row>
    <row r="57" spans="1:3" hidden="1" outlineLevel="2" x14ac:dyDescent="0.3">
      <c r="A57" t="s">
        <v>16</v>
      </c>
      <c r="B57">
        <v>22352</v>
      </c>
      <c r="C57">
        <v>7</v>
      </c>
    </row>
    <row r="58" spans="1:3" hidden="1" outlineLevel="2" x14ac:dyDescent="0.3">
      <c r="A58" t="s">
        <v>16</v>
      </c>
      <c r="B58">
        <v>13806</v>
      </c>
      <c r="C58">
        <v>9</v>
      </c>
    </row>
    <row r="59" spans="1:3" hidden="1" outlineLevel="2" x14ac:dyDescent="0.3">
      <c r="A59" t="s">
        <v>16</v>
      </c>
      <c r="B59">
        <v>3560</v>
      </c>
      <c r="C59">
        <v>4</v>
      </c>
    </row>
    <row r="60" spans="1:3" hidden="1" outlineLevel="2" x14ac:dyDescent="0.3">
      <c r="A60" t="s">
        <v>16</v>
      </c>
      <c r="B60">
        <v>21136</v>
      </c>
      <c r="C60">
        <v>10</v>
      </c>
    </row>
    <row r="61" spans="1:3" hidden="1" outlineLevel="2" x14ac:dyDescent="0.3">
      <c r="A61" t="s">
        <v>16</v>
      </c>
      <c r="B61">
        <v>8494</v>
      </c>
      <c r="C61">
        <v>3</v>
      </c>
    </row>
    <row r="62" spans="1:3" hidden="1" outlineLevel="2" x14ac:dyDescent="0.3">
      <c r="A62" t="s">
        <v>16</v>
      </c>
      <c r="B62">
        <v>20575</v>
      </c>
      <c r="C62">
        <v>9</v>
      </c>
    </row>
    <row r="63" spans="1:3" hidden="1" outlineLevel="2" x14ac:dyDescent="0.3">
      <c r="A63" t="s">
        <v>16</v>
      </c>
      <c r="B63">
        <v>24868</v>
      </c>
      <c r="C63">
        <v>8</v>
      </c>
    </row>
    <row r="64" spans="1:3" hidden="1" outlineLevel="2" x14ac:dyDescent="0.3">
      <c r="A64" t="s">
        <v>16</v>
      </c>
      <c r="B64">
        <v>13856</v>
      </c>
      <c r="C64">
        <v>6</v>
      </c>
    </row>
    <row r="65" spans="1:3" hidden="1" outlineLevel="2" x14ac:dyDescent="0.3">
      <c r="A65" t="s">
        <v>16</v>
      </c>
      <c r="B65">
        <v>12026</v>
      </c>
      <c r="C65">
        <v>5</v>
      </c>
    </row>
    <row r="66" spans="1:3" hidden="1" outlineLevel="2" x14ac:dyDescent="0.3">
      <c r="A66" t="s">
        <v>16</v>
      </c>
      <c r="B66">
        <v>5998</v>
      </c>
      <c r="C66">
        <v>10</v>
      </c>
    </row>
    <row r="67" spans="1:3" hidden="1" outlineLevel="2" x14ac:dyDescent="0.3">
      <c r="A67" t="s">
        <v>16</v>
      </c>
      <c r="B67">
        <v>22176</v>
      </c>
      <c r="C67">
        <v>6</v>
      </c>
    </row>
    <row r="68" spans="1:3" hidden="1" outlineLevel="2" x14ac:dyDescent="0.3">
      <c r="A68" t="s">
        <v>16</v>
      </c>
      <c r="B68">
        <v>16562</v>
      </c>
      <c r="C68">
        <v>2</v>
      </c>
    </row>
    <row r="69" spans="1:3" outlineLevel="1" collapsed="1" x14ac:dyDescent="0.3">
      <c r="A69" s="2" t="s">
        <v>205</v>
      </c>
      <c r="B69">
        <f>SUBTOTAL(9,B32:B68)</f>
        <v>475621</v>
      </c>
      <c r="C69">
        <f>SUBTOTAL(9,C32:C68)</f>
        <v>193</v>
      </c>
    </row>
    <row r="70" spans="1:3" hidden="1" outlineLevel="2" x14ac:dyDescent="0.3">
      <c r="A70" t="s">
        <v>12</v>
      </c>
      <c r="B70">
        <v>5072</v>
      </c>
      <c r="C70">
        <v>2</v>
      </c>
    </row>
    <row r="71" spans="1:3" hidden="1" outlineLevel="2" x14ac:dyDescent="0.3">
      <c r="A71" t="s">
        <v>12</v>
      </c>
      <c r="B71">
        <v>712</v>
      </c>
      <c r="C71">
        <v>3</v>
      </c>
    </row>
    <row r="72" spans="1:3" hidden="1" outlineLevel="2" x14ac:dyDescent="0.3">
      <c r="A72" t="s">
        <v>12</v>
      </c>
      <c r="B72">
        <v>20460</v>
      </c>
      <c r="C72">
        <v>3</v>
      </c>
    </row>
    <row r="73" spans="1:3" hidden="1" outlineLevel="2" x14ac:dyDescent="0.3">
      <c r="A73" t="s">
        <v>12</v>
      </c>
      <c r="B73">
        <v>21471</v>
      </c>
      <c r="C73">
        <v>9</v>
      </c>
    </row>
    <row r="74" spans="1:3" hidden="1" outlineLevel="2" x14ac:dyDescent="0.3">
      <c r="A74" t="s">
        <v>12</v>
      </c>
      <c r="B74">
        <v>19621</v>
      </c>
      <c r="C74">
        <v>7</v>
      </c>
    </row>
    <row r="75" spans="1:3" hidden="1" outlineLevel="2" x14ac:dyDescent="0.3">
      <c r="A75" t="s">
        <v>12</v>
      </c>
      <c r="B75">
        <v>3478</v>
      </c>
      <c r="C75">
        <v>1</v>
      </c>
    </row>
    <row r="76" spans="1:3" hidden="1" outlineLevel="2" x14ac:dyDescent="0.3">
      <c r="A76" t="s">
        <v>12</v>
      </c>
      <c r="B76">
        <v>20043</v>
      </c>
      <c r="C76">
        <v>2</v>
      </c>
    </row>
    <row r="77" spans="1:3" hidden="1" outlineLevel="2" x14ac:dyDescent="0.3">
      <c r="A77" t="s">
        <v>12</v>
      </c>
      <c r="B77">
        <v>16903</v>
      </c>
      <c r="C77">
        <v>3</v>
      </c>
    </row>
    <row r="78" spans="1:3" hidden="1" outlineLevel="2" x14ac:dyDescent="0.3">
      <c r="A78" t="s">
        <v>12</v>
      </c>
      <c r="B78">
        <v>17955</v>
      </c>
      <c r="C78">
        <v>3</v>
      </c>
    </row>
    <row r="79" spans="1:3" hidden="1" outlineLevel="2" x14ac:dyDescent="0.3">
      <c r="A79" t="s">
        <v>12</v>
      </c>
      <c r="B79">
        <v>13574</v>
      </c>
      <c r="C79">
        <v>6</v>
      </c>
    </row>
    <row r="80" spans="1:3" hidden="1" outlineLevel="2" x14ac:dyDescent="0.3">
      <c r="A80" t="s">
        <v>12</v>
      </c>
      <c r="B80">
        <v>735</v>
      </c>
      <c r="C80">
        <v>2</v>
      </c>
    </row>
    <row r="81" spans="1:3" hidden="1" outlineLevel="2" x14ac:dyDescent="0.3">
      <c r="A81" t="s">
        <v>12</v>
      </c>
      <c r="B81">
        <v>11327</v>
      </c>
      <c r="C81">
        <v>2</v>
      </c>
    </row>
    <row r="82" spans="1:3" hidden="1" outlineLevel="2" x14ac:dyDescent="0.3">
      <c r="A82" t="s">
        <v>12</v>
      </c>
      <c r="B82">
        <v>6739</v>
      </c>
      <c r="C82">
        <v>2</v>
      </c>
    </row>
    <row r="83" spans="1:3" hidden="1" outlineLevel="2" x14ac:dyDescent="0.3">
      <c r="A83" t="s">
        <v>12</v>
      </c>
      <c r="B83">
        <v>5093</v>
      </c>
      <c r="C83">
        <v>7</v>
      </c>
    </row>
    <row r="84" spans="1:3" hidden="1" outlineLevel="2" x14ac:dyDescent="0.3">
      <c r="A84" t="s">
        <v>12</v>
      </c>
      <c r="B84">
        <v>8245</v>
      </c>
      <c r="C84">
        <v>3</v>
      </c>
    </row>
    <row r="85" spans="1:3" hidden="1" outlineLevel="2" x14ac:dyDescent="0.3">
      <c r="A85" t="s">
        <v>12</v>
      </c>
      <c r="B85">
        <v>9847</v>
      </c>
      <c r="C85">
        <v>7</v>
      </c>
    </row>
    <row r="86" spans="1:3" hidden="1" outlineLevel="2" x14ac:dyDescent="0.3">
      <c r="A86" t="s">
        <v>12</v>
      </c>
      <c r="B86">
        <v>2416</v>
      </c>
      <c r="C86">
        <v>10</v>
      </c>
    </row>
    <row r="87" spans="1:3" hidden="1" outlineLevel="2" x14ac:dyDescent="0.3">
      <c r="A87" t="s">
        <v>12</v>
      </c>
      <c r="B87">
        <v>2745</v>
      </c>
      <c r="C87">
        <v>10</v>
      </c>
    </row>
    <row r="88" spans="1:3" hidden="1" outlineLevel="2" x14ac:dyDescent="0.3">
      <c r="A88" t="s">
        <v>12</v>
      </c>
      <c r="B88">
        <v>22509</v>
      </c>
      <c r="C88">
        <v>5</v>
      </c>
    </row>
    <row r="89" spans="1:3" hidden="1" outlineLevel="2" x14ac:dyDescent="0.3">
      <c r="A89" t="s">
        <v>12</v>
      </c>
      <c r="B89">
        <v>4840</v>
      </c>
      <c r="C89">
        <v>6</v>
      </c>
    </row>
    <row r="90" spans="1:3" hidden="1" outlineLevel="2" x14ac:dyDescent="0.3">
      <c r="A90" t="s">
        <v>12</v>
      </c>
      <c r="B90">
        <v>14858</v>
      </c>
      <c r="C90">
        <v>9</v>
      </c>
    </row>
    <row r="91" spans="1:3" hidden="1" outlineLevel="2" x14ac:dyDescent="0.3">
      <c r="A91" t="s">
        <v>12</v>
      </c>
      <c r="B91">
        <v>18577</v>
      </c>
      <c r="C91">
        <v>7</v>
      </c>
    </row>
    <row r="92" spans="1:3" hidden="1" outlineLevel="2" x14ac:dyDescent="0.3">
      <c r="A92" t="s">
        <v>12</v>
      </c>
      <c r="B92">
        <v>18377</v>
      </c>
      <c r="C92">
        <v>1</v>
      </c>
    </row>
    <row r="93" spans="1:3" hidden="1" outlineLevel="2" x14ac:dyDescent="0.3">
      <c r="A93" t="s">
        <v>12</v>
      </c>
      <c r="B93">
        <v>22354</v>
      </c>
      <c r="C93">
        <v>2</v>
      </c>
    </row>
    <row r="94" spans="1:3" hidden="1" outlineLevel="2" x14ac:dyDescent="0.3">
      <c r="A94" t="s">
        <v>12</v>
      </c>
      <c r="B94">
        <v>15923</v>
      </c>
      <c r="C94">
        <v>4</v>
      </c>
    </row>
    <row r="95" spans="1:3" hidden="1" outlineLevel="2" x14ac:dyDescent="0.3">
      <c r="A95" t="s">
        <v>12</v>
      </c>
      <c r="B95">
        <v>2014</v>
      </c>
      <c r="C95">
        <v>4</v>
      </c>
    </row>
    <row r="96" spans="1:3" hidden="1" outlineLevel="2" x14ac:dyDescent="0.3">
      <c r="A96" t="s">
        <v>12</v>
      </c>
      <c r="B96">
        <v>23303</v>
      </c>
      <c r="C96">
        <v>9</v>
      </c>
    </row>
    <row r="97" spans="1:3" hidden="1" outlineLevel="2" x14ac:dyDescent="0.3">
      <c r="A97" t="s">
        <v>12</v>
      </c>
      <c r="B97">
        <v>15457</v>
      </c>
      <c r="C97">
        <v>3</v>
      </c>
    </row>
    <row r="98" spans="1:3" hidden="1" outlineLevel="2" x14ac:dyDescent="0.3">
      <c r="A98" t="s">
        <v>12</v>
      </c>
      <c r="B98">
        <v>24229</v>
      </c>
      <c r="C98">
        <v>3</v>
      </c>
    </row>
    <row r="99" spans="1:3" hidden="1" outlineLevel="2" x14ac:dyDescent="0.3">
      <c r="A99" t="s">
        <v>12</v>
      </c>
      <c r="B99">
        <v>19895</v>
      </c>
      <c r="C99">
        <v>10</v>
      </c>
    </row>
    <row r="100" spans="1:3" hidden="1" outlineLevel="2" x14ac:dyDescent="0.3">
      <c r="A100" t="s">
        <v>12</v>
      </c>
      <c r="B100">
        <v>6454</v>
      </c>
      <c r="C100">
        <v>1</v>
      </c>
    </row>
    <row r="101" spans="1:3" hidden="1" outlineLevel="2" x14ac:dyDescent="0.3">
      <c r="A101" t="s">
        <v>12</v>
      </c>
      <c r="B101">
        <v>20859</v>
      </c>
      <c r="C101">
        <v>3</v>
      </c>
    </row>
    <row r="102" spans="1:3" hidden="1" outlineLevel="2" x14ac:dyDescent="0.3">
      <c r="A102" t="s">
        <v>12</v>
      </c>
      <c r="B102">
        <v>18980</v>
      </c>
      <c r="C102">
        <v>4</v>
      </c>
    </row>
    <row r="103" spans="1:3" hidden="1" outlineLevel="2" x14ac:dyDescent="0.3">
      <c r="A103" t="s">
        <v>12</v>
      </c>
      <c r="B103">
        <v>10722</v>
      </c>
      <c r="C103">
        <v>10</v>
      </c>
    </row>
    <row r="104" spans="1:3" outlineLevel="1" collapsed="1" x14ac:dyDescent="0.3">
      <c r="A104" s="2" t="s">
        <v>206</v>
      </c>
      <c r="B104">
        <f>SUBTOTAL(9,B70:B103)</f>
        <v>445787</v>
      </c>
      <c r="C104">
        <f>SUBTOTAL(9,C70:C103)</f>
        <v>163</v>
      </c>
    </row>
    <row r="105" spans="1:3" x14ac:dyDescent="0.3">
      <c r="A105" s="2" t="s">
        <v>180</v>
      </c>
      <c r="B105">
        <f>SUBTOTAL(9,B2:B103)</f>
        <v>1322308</v>
      </c>
      <c r="C105">
        <f>SUBTOTAL(9,C2:C103)</f>
        <v>534</v>
      </c>
    </row>
  </sheetData>
  <autoFilter ref="A1:C1" xr:uid="{B1D89F45-96D7-4E8C-B6A4-455332927164}">
    <sortState xmlns:xlrd2="http://schemas.microsoft.com/office/spreadsheetml/2017/richdata2" ref="A2:C101">
      <sortCondition ref="A1"/>
    </sortState>
  </autoFilter>
  <conditionalFormatting sqref="C31:C104">
    <cfRule type="top10" dxfId="0" priority="1" rank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E75A-859F-4B6F-8128-2E65D2883A53}">
  <dimension ref="A1:K111"/>
  <sheetViews>
    <sheetView workbookViewId="0">
      <selection activeCell="C30" sqref="C30"/>
    </sheetView>
  </sheetViews>
  <sheetFormatPr defaultRowHeight="14.4" outlineLevelRow="2" x14ac:dyDescent="0.3"/>
  <cols>
    <col min="1" max="1" width="13.109375" bestFit="1" customWidth="1"/>
    <col min="2" max="2" width="7.33203125" bestFit="1" customWidth="1"/>
    <col min="5" max="5" width="17.44140625" bestFit="1" customWidth="1"/>
  </cols>
  <sheetData>
    <row r="1" spans="1:11" x14ac:dyDescent="0.3">
      <c r="A1" t="s">
        <v>4</v>
      </c>
      <c r="B1" t="s">
        <v>7</v>
      </c>
      <c r="E1" t="s">
        <v>4</v>
      </c>
      <c r="F1" t="s">
        <v>7</v>
      </c>
    </row>
    <row r="2" spans="1:11" outlineLevel="2" x14ac:dyDescent="0.3">
      <c r="A2" t="s">
        <v>29</v>
      </c>
      <c r="B2">
        <v>11529</v>
      </c>
      <c r="E2" t="s">
        <v>29</v>
      </c>
      <c r="F2">
        <v>11529</v>
      </c>
    </row>
    <row r="3" spans="1:11" outlineLevel="2" x14ac:dyDescent="0.3">
      <c r="A3" t="s">
        <v>29</v>
      </c>
      <c r="B3">
        <v>20282</v>
      </c>
      <c r="E3" t="s">
        <v>29</v>
      </c>
      <c r="F3">
        <v>20282</v>
      </c>
    </row>
    <row r="4" spans="1:11" outlineLevel="2" x14ac:dyDescent="0.3">
      <c r="A4" t="s">
        <v>29</v>
      </c>
      <c r="B4">
        <v>5829</v>
      </c>
      <c r="E4" t="s">
        <v>29</v>
      </c>
      <c r="F4">
        <v>5829</v>
      </c>
    </row>
    <row r="5" spans="1:11" outlineLevel="2" x14ac:dyDescent="0.3">
      <c r="A5" t="s">
        <v>29</v>
      </c>
      <c r="B5">
        <v>19085</v>
      </c>
      <c r="E5" t="s">
        <v>29</v>
      </c>
      <c r="F5">
        <v>19085</v>
      </c>
      <c r="K5">
        <v>8</v>
      </c>
    </row>
    <row r="6" spans="1:11" outlineLevel="2" x14ac:dyDescent="0.3">
      <c r="A6" t="s">
        <v>29</v>
      </c>
      <c r="B6">
        <v>18628</v>
      </c>
      <c r="E6" t="s">
        <v>29</v>
      </c>
      <c r="F6">
        <v>18628</v>
      </c>
    </row>
    <row r="7" spans="1:11" outlineLevel="2" x14ac:dyDescent="0.3">
      <c r="A7" t="s">
        <v>29</v>
      </c>
      <c r="B7">
        <v>8392</v>
      </c>
      <c r="E7" t="s">
        <v>29</v>
      </c>
      <c r="F7">
        <v>8392</v>
      </c>
      <c r="K7" t="s">
        <v>212</v>
      </c>
    </row>
    <row r="8" spans="1:11" outlineLevel="2" x14ac:dyDescent="0.3">
      <c r="A8" t="s">
        <v>29</v>
      </c>
      <c r="B8">
        <v>24202</v>
      </c>
      <c r="E8" t="s">
        <v>29</v>
      </c>
      <c r="F8">
        <v>24202</v>
      </c>
    </row>
    <row r="9" spans="1:11" outlineLevel="2" x14ac:dyDescent="0.3">
      <c r="A9" t="s">
        <v>29</v>
      </c>
      <c r="B9">
        <v>15020</v>
      </c>
      <c r="E9" t="s">
        <v>29</v>
      </c>
      <c r="F9">
        <v>15020</v>
      </c>
    </row>
    <row r="10" spans="1:11" outlineLevel="2" x14ac:dyDescent="0.3">
      <c r="A10" t="s">
        <v>29</v>
      </c>
      <c r="B10">
        <v>2421</v>
      </c>
      <c r="E10" t="s">
        <v>29</v>
      </c>
      <c r="F10">
        <v>2421</v>
      </c>
    </row>
    <row r="11" spans="1:11" outlineLevel="2" x14ac:dyDescent="0.3">
      <c r="A11" t="s">
        <v>29</v>
      </c>
      <c r="B11">
        <v>20854</v>
      </c>
      <c r="E11" t="s">
        <v>29</v>
      </c>
      <c r="F11">
        <v>20854</v>
      </c>
    </row>
    <row r="12" spans="1:11" outlineLevel="2" x14ac:dyDescent="0.3">
      <c r="A12" t="s">
        <v>29</v>
      </c>
      <c r="B12">
        <v>24827</v>
      </c>
      <c r="E12" t="s">
        <v>29</v>
      </c>
      <c r="F12">
        <v>24827</v>
      </c>
    </row>
    <row r="13" spans="1:11" outlineLevel="2" x14ac:dyDescent="0.3">
      <c r="A13" t="s">
        <v>29</v>
      </c>
      <c r="B13">
        <v>24014</v>
      </c>
      <c r="E13" t="s">
        <v>29</v>
      </c>
      <c r="F13">
        <v>24014</v>
      </c>
    </row>
    <row r="14" spans="1:11" outlineLevel="2" x14ac:dyDescent="0.3">
      <c r="A14" t="s">
        <v>29</v>
      </c>
      <c r="B14">
        <v>13991</v>
      </c>
      <c r="E14" t="s">
        <v>29</v>
      </c>
      <c r="F14">
        <v>13991</v>
      </c>
    </row>
    <row r="15" spans="1:11" outlineLevel="2" x14ac:dyDescent="0.3">
      <c r="A15" t="s">
        <v>29</v>
      </c>
      <c r="B15">
        <v>7804</v>
      </c>
      <c r="E15" t="s">
        <v>29</v>
      </c>
      <c r="F15">
        <v>7804</v>
      </c>
    </row>
    <row r="16" spans="1:11" outlineLevel="2" x14ac:dyDescent="0.3">
      <c r="A16" t="s">
        <v>29</v>
      </c>
      <c r="B16">
        <v>9646</v>
      </c>
      <c r="E16" t="s">
        <v>29</v>
      </c>
      <c r="F16">
        <v>9646</v>
      </c>
    </row>
    <row r="17" spans="1:6" outlineLevel="2" x14ac:dyDescent="0.3">
      <c r="A17" t="s">
        <v>29</v>
      </c>
      <c r="B17">
        <v>555</v>
      </c>
      <c r="E17" t="s">
        <v>29</v>
      </c>
      <c r="F17">
        <v>555</v>
      </c>
    </row>
    <row r="18" spans="1:6" outlineLevel="2" x14ac:dyDescent="0.3">
      <c r="A18" t="s">
        <v>29</v>
      </c>
      <c r="B18">
        <v>20919</v>
      </c>
      <c r="E18" t="s">
        <v>29</v>
      </c>
      <c r="F18">
        <v>20919</v>
      </c>
    </row>
    <row r="19" spans="1:6" outlineLevel="2" x14ac:dyDescent="0.3">
      <c r="A19" t="s">
        <v>29</v>
      </c>
      <c r="B19">
        <v>6786</v>
      </c>
      <c r="E19" t="s">
        <v>29</v>
      </c>
      <c r="F19">
        <v>6786</v>
      </c>
    </row>
    <row r="20" spans="1:6" outlineLevel="2" x14ac:dyDescent="0.3">
      <c r="A20" t="s">
        <v>29</v>
      </c>
      <c r="B20">
        <v>19504</v>
      </c>
      <c r="E20" t="s">
        <v>29</v>
      </c>
      <c r="F20">
        <v>19504</v>
      </c>
    </row>
    <row r="21" spans="1:6" outlineLevel="2" x14ac:dyDescent="0.3">
      <c r="A21" t="s">
        <v>29</v>
      </c>
      <c r="B21">
        <v>17250</v>
      </c>
      <c r="E21" t="s">
        <v>29</v>
      </c>
      <c r="F21">
        <v>17250</v>
      </c>
    </row>
    <row r="22" spans="1:6" outlineLevel="2" x14ac:dyDescent="0.3">
      <c r="A22" t="s">
        <v>29</v>
      </c>
      <c r="B22">
        <v>17581</v>
      </c>
      <c r="E22" t="s">
        <v>29</v>
      </c>
      <c r="F22">
        <v>17581</v>
      </c>
    </row>
    <row r="23" spans="1:6" outlineLevel="2" x14ac:dyDescent="0.3">
      <c r="A23" t="s">
        <v>29</v>
      </c>
      <c r="B23">
        <v>8183</v>
      </c>
      <c r="E23" t="s">
        <v>29</v>
      </c>
      <c r="F23">
        <v>8183</v>
      </c>
    </row>
    <row r="24" spans="1:6" outlineLevel="2" x14ac:dyDescent="0.3">
      <c r="A24" t="s">
        <v>29</v>
      </c>
      <c r="B24">
        <v>8077</v>
      </c>
      <c r="E24" t="s">
        <v>29</v>
      </c>
      <c r="F24">
        <v>8077</v>
      </c>
    </row>
    <row r="25" spans="1:6" outlineLevel="2" x14ac:dyDescent="0.3">
      <c r="A25" t="s">
        <v>29</v>
      </c>
      <c r="B25">
        <v>13262</v>
      </c>
      <c r="E25" t="s">
        <v>29</v>
      </c>
      <c r="F25">
        <v>13262</v>
      </c>
    </row>
    <row r="26" spans="1:6" outlineLevel="2" x14ac:dyDescent="0.3">
      <c r="A26" t="s">
        <v>29</v>
      </c>
      <c r="B26">
        <v>9443</v>
      </c>
      <c r="E26" t="s">
        <v>29</v>
      </c>
      <c r="F26">
        <v>9443</v>
      </c>
    </row>
    <row r="27" spans="1:6" outlineLevel="2" x14ac:dyDescent="0.3">
      <c r="A27" t="s">
        <v>29</v>
      </c>
      <c r="B27">
        <v>11210</v>
      </c>
      <c r="E27" t="s">
        <v>29</v>
      </c>
      <c r="F27">
        <v>11210</v>
      </c>
    </row>
    <row r="28" spans="1:6" outlineLevel="2" x14ac:dyDescent="0.3">
      <c r="A28" t="s">
        <v>29</v>
      </c>
      <c r="B28">
        <v>15911</v>
      </c>
      <c r="E28" t="s">
        <v>29</v>
      </c>
      <c r="F28">
        <v>15911</v>
      </c>
    </row>
    <row r="29" spans="1:6" outlineLevel="2" x14ac:dyDescent="0.3">
      <c r="A29" t="s">
        <v>29</v>
      </c>
      <c r="B29">
        <v>21856</v>
      </c>
      <c r="E29" t="s">
        <v>29</v>
      </c>
      <c r="F29">
        <v>21856</v>
      </c>
    </row>
    <row r="30" spans="1:6" outlineLevel="2" x14ac:dyDescent="0.3">
      <c r="A30" t="s">
        <v>29</v>
      </c>
      <c r="B30">
        <v>3839</v>
      </c>
      <c r="E30" t="s">
        <v>29</v>
      </c>
      <c r="F30">
        <v>3839</v>
      </c>
    </row>
    <row r="31" spans="1:6" outlineLevel="1" x14ac:dyDescent="0.3">
      <c r="E31" s="2" t="s">
        <v>217</v>
      </c>
      <c r="F31">
        <f>SUBTOTAL(5,F2:F30)</f>
        <v>555</v>
      </c>
    </row>
    <row r="32" spans="1:6" outlineLevel="1" x14ac:dyDescent="0.3">
      <c r="A32" s="2" t="s">
        <v>213</v>
      </c>
      <c r="B32">
        <f>SUBTOTAL(4,B2:B30)</f>
        <v>24827</v>
      </c>
    </row>
    <row r="33" spans="1:6" outlineLevel="2" x14ac:dyDescent="0.3">
      <c r="A33" t="s">
        <v>16</v>
      </c>
      <c r="B33">
        <v>3570</v>
      </c>
      <c r="E33" t="s">
        <v>16</v>
      </c>
      <c r="F33">
        <v>3570</v>
      </c>
    </row>
    <row r="34" spans="1:6" outlineLevel="2" x14ac:dyDescent="0.3">
      <c r="A34" t="s">
        <v>16</v>
      </c>
      <c r="B34">
        <v>23962</v>
      </c>
      <c r="E34" t="s">
        <v>16</v>
      </c>
      <c r="F34">
        <v>23962</v>
      </c>
    </row>
    <row r="35" spans="1:6" outlineLevel="2" x14ac:dyDescent="0.3">
      <c r="A35" t="s">
        <v>16</v>
      </c>
      <c r="B35">
        <v>12903</v>
      </c>
      <c r="E35" t="s">
        <v>16</v>
      </c>
      <c r="F35">
        <v>12903</v>
      </c>
    </row>
    <row r="36" spans="1:6" outlineLevel="2" x14ac:dyDescent="0.3">
      <c r="A36" t="s">
        <v>16</v>
      </c>
      <c r="B36">
        <v>23587</v>
      </c>
      <c r="E36" t="s">
        <v>16</v>
      </c>
      <c r="F36">
        <v>23587</v>
      </c>
    </row>
    <row r="37" spans="1:6" outlineLevel="2" x14ac:dyDescent="0.3">
      <c r="A37" t="s">
        <v>16</v>
      </c>
      <c r="B37">
        <v>3114</v>
      </c>
      <c r="E37" t="s">
        <v>16</v>
      </c>
      <c r="F37">
        <v>3114</v>
      </c>
    </row>
    <row r="38" spans="1:6" outlineLevel="2" x14ac:dyDescent="0.3">
      <c r="A38" t="s">
        <v>16</v>
      </c>
      <c r="B38">
        <v>8005</v>
      </c>
      <c r="E38" t="s">
        <v>16</v>
      </c>
      <c r="F38">
        <v>8005</v>
      </c>
    </row>
    <row r="39" spans="1:6" outlineLevel="2" x14ac:dyDescent="0.3">
      <c r="A39" t="s">
        <v>16</v>
      </c>
      <c r="B39">
        <v>5181</v>
      </c>
      <c r="E39" t="s">
        <v>16</v>
      </c>
      <c r="F39">
        <v>5181</v>
      </c>
    </row>
    <row r="40" spans="1:6" outlineLevel="2" x14ac:dyDescent="0.3">
      <c r="A40" t="s">
        <v>16</v>
      </c>
      <c r="B40">
        <v>4155</v>
      </c>
      <c r="E40" t="s">
        <v>16</v>
      </c>
      <c r="F40">
        <v>4155</v>
      </c>
    </row>
    <row r="41" spans="1:6" outlineLevel="2" x14ac:dyDescent="0.3">
      <c r="A41" t="s">
        <v>16</v>
      </c>
      <c r="B41">
        <v>5508</v>
      </c>
      <c r="E41" t="s">
        <v>16</v>
      </c>
      <c r="F41">
        <v>5508</v>
      </c>
    </row>
    <row r="42" spans="1:6" outlineLevel="2" x14ac:dyDescent="0.3">
      <c r="A42" t="s">
        <v>16</v>
      </c>
      <c r="B42">
        <v>16510</v>
      </c>
      <c r="E42" t="s">
        <v>16</v>
      </c>
      <c r="F42">
        <v>16510</v>
      </c>
    </row>
    <row r="43" spans="1:6" outlineLevel="2" x14ac:dyDescent="0.3">
      <c r="A43" t="s">
        <v>16</v>
      </c>
      <c r="B43">
        <v>9185</v>
      </c>
      <c r="E43" t="s">
        <v>16</v>
      </c>
      <c r="F43">
        <v>9185</v>
      </c>
    </row>
    <row r="44" spans="1:6" outlineLevel="2" x14ac:dyDescent="0.3">
      <c r="A44" t="s">
        <v>16</v>
      </c>
      <c r="B44">
        <v>7862</v>
      </c>
      <c r="E44" t="s">
        <v>16</v>
      </c>
      <c r="F44">
        <v>7862</v>
      </c>
    </row>
    <row r="45" spans="1:6" outlineLevel="2" x14ac:dyDescent="0.3">
      <c r="A45" t="s">
        <v>16</v>
      </c>
      <c r="B45">
        <v>13970</v>
      </c>
      <c r="E45" t="s">
        <v>16</v>
      </c>
      <c r="F45">
        <v>13970</v>
      </c>
    </row>
    <row r="46" spans="1:6" outlineLevel="2" x14ac:dyDescent="0.3">
      <c r="A46" t="s">
        <v>16</v>
      </c>
      <c r="B46">
        <v>24362</v>
      </c>
      <c r="E46" t="s">
        <v>16</v>
      </c>
      <c r="F46">
        <v>24362</v>
      </c>
    </row>
    <row r="47" spans="1:6" outlineLevel="2" x14ac:dyDescent="0.3">
      <c r="A47" t="s">
        <v>16</v>
      </c>
      <c r="B47">
        <v>19642</v>
      </c>
      <c r="E47" t="s">
        <v>16</v>
      </c>
      <c r="F47">
        <v>19642</v>
      </c>
    </row>
    <row r="48" spans="1:6" outlineLevel="2" x14ac:dyDescent="0.3">
      <c r="A48" t="s">
        <v>16</v>
      </c>
      <c r="B48">
        <v>19167</v>
      </c>
      <c r="E48" t="s">
        <v>16</v>
      </c>
      <c r="F48">
        <v>19167</v>
      </c>
    </row>
    <row r="49" spans="1:6" outlineLevel="2" x14ac:dyDescent="0.3">
      <c r="A49" t="s">
        <v>16</v>
      </c>
      <c r="B49">
        <v>9044</v>
      </c>
      <c r="E49" t="s">
        <v>16</v>
      </c>
      <c r="F49">
        <v>9044</v>
      </c>
    </row>
    <row r="50" spans="1:6" outlineLevel="2" x14ac:dyDescent="0.3">
      <c r="A50" t="s">
        <v>16</v>
      </c>
      <c r="B50">
        <v>22237</v>
      </c>
      <c r="E50" t="s">
        <v>16</v>
      </c>
      <c r="F50">
        <v>22237</v>
      </c>
    </row>
    <row r="51" spans="1:6" outlineLevel="2" x14ac:dyDescent="0.3">
      <c r="A51" t="s">
        <v>16</v>
      </c>
      <c r="B51">
        <v>8728</v>
      </c>
      <c r="E51" t="s">
        <v>16</v>
      </c>
      <c r="F51">
        <v>8728</v>
      </c>
    </row>
    <row r="52" spans="1:6" outlineLevel="2" x14ac:dyDescent="0.3">
      <c r="A52" t="s">
        <v>16</v>
      </c>
      <c r="B52">
        <v>1944</v>
      </c>
      <c r="E52" t="s">
        <v>16</v>
      </c>
      <c r="F52">
        <v>1944</v>
      </c>
    </row>
    <row r="53" spans="1:6" outlineLevel="2" x14ac:dyDescent="0.3">
      <c r="A53" t="s">
        <v>16</v>
      </c>
      <c r="B53">
        <v>1870</v>
      </c>
      <c r="E53" t="s">
        <v>16</v>
      </c>
      <c r="F53">
        <v>1870</v>
      </c>
    </row>
    <row r="54" spans="1:6" outlineLevel="2" x14ac:dyDescent="0.3">
      <c r="A54" t="s">
        <v>16</v>
      </c>
      <c r="B54">
        <v>8257</v>
      </c>
      <c r="E54" t="s">
        <v>16</v>
      </c>
      <c r="F54">
        <v>8257</v>
      </c>
    </row>
    <row r="55" spans="1:6" outlineLevel="2" x14ac:dyDescent="0.3">
      <c r="A55" t="s">
        <v>16</v>
      </c>
      <c r="B55">
        <v>4279</v>
      </c>
      <c r="E55" t="s">
        <v>16</v>
      </c>
      <c r="F55">
        <v>4279</v>
      </c>
    </row>
    <row r="56" spans="1:6" outlineLevel="2" x14ac:dyDescent="0.3">
      <c r="A56" t="s">
        <v>16</v>
      </c>
      <c r="B56">
        <v>20048</v>
      </c>
      <c r="E56" t="s">
        <v>16</v>
      </c>
      <c r="F56">
        <v>20048</v>
      </c>
    </row>
    <row r="57" spans="1:6" outlineLevel="2" x14ac:dyDescent="0.3">
      <c r="A57" t="s">
        <v>16</v>
      </c>
      <c r="B57">
        <v>13122</v>
      </c>
      <c r="E57" t="s">
        <v>16</v>
      </c>
      <c r="F57">
        <v>13122</v>
      </c>
    </row>
    <row r="58" spans="1:6" outlineLevel="2" x14ac:dyDescent="0.3">
      <c r="A58" t="s">
        <v>16</v>
      </c>
      <c r="B58">
        <v>22352</v>
      </c>
      <c r="E58" t="s">
        <v>16</v>
      </c>
      <c r="F58">
        <v>22352</v>
      </c>
    </row>
    <row r="59" spans="1:6" outlineLevel="2" x14ac:dyDescent="0.3">
      <c r="A59" t="s">
        <v>16</v>
      </c>
      <c r="B59">
        <v>13806</v>
      </c>
      <c r="E59" t="s">
        <v>16</v>
      </c>
      <c r="F59">
        <v>13806</v>
      </c>
    </row>
    <row r="60" spans="1:6" outlineLevel="2" x14ac:dyDescent="0.3">
      <c r="A60" t="s">
        <v>16</v>
      </c>
      <c r="B60">
        <v>3560</v>
      </c>
      <c r="E60" t="s">
        <v>16</v>
      </c>
      <c r="F60">
        <v>3560</v>
      </c>
    </row>
    <row r="61" spans="1:6" outlineLevel="2" x14ac:dyDescent="0.3">
      <c r="A61" t="s">
        <v>16</v>
      </c>
      <c r="B61">
        <v>21136</v>
      </c>
      <c r="E61" t="s">
        <v>16</v>
      </c>
      <c r="F61">
        <v>21136</v>
      </c>
    </row>
    <row r="62" spans="1:6" outlineLevel="2" x14ac:dyDescent="0.3">
      <c r="A62" t="s">
        <v>16</v>
      </c>
      <c r="B62">
        <v>8494</v>
      </c>
      <c r="E62" t="s">
        <v>16</v>
      </c>
      <c r="F62">
        <v>8494</v>
      </c>
    </row>
    <row r="63" spans="1:6" outlineLevel="2" x14ac:dyDescent="0.3">
      <c r="A63" t="s">
        <v>16</v>
      </c>
      <c r="B63">
        <v>20575</v>
      </c>
      <c r="E63" t="s">
        <v>16</v>
      </c>
      <c r="F63">
        <v>20575</v>
      </c>
    </row>
    <row r="64" spans="1:6" outlineLevel="2" x14ac:dyDescent="0.3">
      <c r="A64" t="s">
        <v>16</v>
      </c>
      <c r="B64">
        <v>24868</v>
      </c>
      <c r="E64" t="s">
        <v>16</v>
      </c>
      <c r="F64">
        <v>24868</v>
      </c>
    </row>
    <row r="65" spans="1:6" outlineLevel="2" x14ac:dyDescent="0.3">
      <c r="A65" t="s">
        <v>16</v>
      </c>
      <c r="B65">
        <v>13856</v>
      </c>
      <c r="E65" t="s">
        <v>16</v>
      </c>
      <c r="F65">
        <v>13856</v>
      </c>
    </row>
    <row r="66" spans="1:6" outlineLevel="2" x14ac:dyDescent="0.3">
      <c r="A66" t="s">
        <v>16</v>
      </c>
      <c r="B66">
        <v>12026</v>
      </c>
      <c r="E66" t="s">
        <v>16</v>
      </c>
      <c r="F66">
        <v>12026</v>
      </c>
    </row>
    <row r="67" spans="1:6" outlineLevel="2" x14ac:dyDescent="0.3">
      <c r="A67" t="s">
        <v>16</v>
      </c>
      <c r="B67">
        <v>5998</v>
      </c>
      <c r="E67" t="s">
        <v>16</v>
      </c>
      <c r="F67">
        <v>5998</v>
      </c>
    </row>
    <row r="68" spans="1:6" outlineLevel="2" x14ac:dyDescent="0.3">
      <c r="A68" t="s">
        <v>16</v>
      </c>
      <c r="B68">
        <v>22176</v>
      </c>
      <c r="E68" t="s">
        <v>16</v>
      </c>
      <c r="F68">
        <v>22176</v>
      </c>
    </row>
    <row r="69" spans="1:6" outlineLevel="2" x14ac:dyDescent="0.3">
      <c r="A69" t="s">
        <v>16</v>
      </c>
      <c r="B69">
        <v>16562</v>
      </c>
      <c r="E69" t="s">
        <v>16</v>
      </c>
      <c r="F69">
        <v>16562</v>
      </c>
    </row>
    <row r="70" spans="1:6" outlineLevel="1" x14ac:dyDescent="0.3">
      <c r="E70" s="2" t="s">
        <v>218</v>
      </c>
      <c r="F70">
        <f>SUBTOTAL(5,F33:F69)</f>
        <v>1870</v>
      </c>
    </row>
    <row r="71" spans="1:6" outlineLevel="1" x14ac:dyDescent="0.3">
      <c r="A71" s="2" t="s">
        <v>214</v>
      </c>
      <c r="B71">
        <f>SUBTOTAL(4,B33:B69)</f>
        <v>24868</v>
      </c>
    </row>
    <row r="72" spans="1:6" outlineLevel="2" x14ac:dyDescent="0.3">
      <c r="A72" t="s">
        <v>12</v>
      </c>
      <c r="B72">
        <v>5072</v>
      </c>
      <c r="E72" t="s">
        <v>12</v>
      </c>
      <c r="F72">
        <v>5072</v>
      </c>
    </row>
    <row r="73" spans="1:6" outlineLevel="2" x14ac:dyDescent="0.3">
      <c r="A73" t="s">
        <v>12</v>
      </c>
      <c r="B73">
        <v>712</v>
      </c>
      <c r="E73" t="s">
        <v>12</v>
      </c>
      <c r="F73">
        <v>712</v>
      </c>
    </row>
    <row r="74" spans="1:6" outlineLevel="2" x14ac:dyDescent="0.3">
      <c r="A74" t="s">
        <v>12</v>
      </c>
      <c r="B74">
        <v>20460</v>
      </c>
      <c r="E74" t="s">
        <v>12</v>
      </c>
      <c r="F74">
        <v>20460</v>
      </c>
    </row>
    <row r="75" spans="1:6" outlineLevel="2" x14ac:dyDescent="0.3">
      <c r="A75" t="s">
        <v>12</v>
      </c>
      <c r="B75">
        <v>21471</v>
      </c>
      <c r="E75" t="s">
        <v>12</v>
      </c>
      <c r="F75">
        <v>21471</v>
      </c>
    </row>
    <row r="76" spans="1:6" outlineLevel="2" x14ac:dyDescent="0.3">
      <c r="A76" t="s">
        <v>12</v>
      </c>
      <c r="B76">
        <v>19621</v>
      </c>
      <c r="E76" t="s">
        <v>12</v>
      </c>
      <c r="F76">
        <v>19621</v>
      </c>
    </row>
    <row r="77" spans="1:6" outlineLevel="2" x14ac:dyDescent="0.3">
      <c r="A77" t="s">
        <v>12</v>
      </c>
      <c r="B77">
        <v>3478</v>
      </c>
      <c r="E77" t="s">
        <v>12</v>
      </c>
      <c r="F77">
        <v>3478</v>
      </c>
    </row>
    <row r="78" spans="1:6" outlineLevel="2" x14ac:dyDescent="0.3">
      <c r="A78" t="s">
        <v>12</v>
      </c>
      <c r="B78">
        <v>20043</v>
      </c>
      <c r="E78" t="s">
        <v>12</v>
      </c>
      <c r="F78">
        <v>20043</v>
      </c>
    </row>
    <row r="79" spans="1:6" outlineLevel="2" x14ac:dyDescent="0.3">
      <c r="A79" t="s">
        <v>12</v>
      </c>
      <c r="B79">
        <v>16903</v>
      </c>
      <c r="E79" t="s">
        <v>12</v>
      </c>
      <c r="F79">
        <v>16903</v>
      </c>
    </row>
    <row r="80" spans="1:6" outlineLevel="2" x14ac:dyDescent="0.3">
      <c r="A80" t="s">
        <v>12</v>
      </c>
      <c r="B80">
        <v>17955</v>
      </c>
      <c r="E80" t="s">
        <v>12</v>
      </c>
      <c r="F80">
        <v>17955</v>
      </c>
    </row>
    <row r="81" spans="1:6" outlineLevel="2" x14ac:dyDescent="0.3">
      <c r="A81" t="s">
        <v>12</v>
      </c>
      <c r="B81">
        <v>13574</v>
      </c>
      <c r="E81" t="s">
        <v>12</v>
      </c>
      <c r="F81">
        <v>13574</v>
      </c>
    </row>
    <row r="82" spans="1:6" outlineLevel="2" x14ac:dyDescent="0.3">
      <c r="A82" t="s">
        <v>12</v>
      </c>
      <c r="B82">
        <v>735</v>
      </c>
      <c r="E82" t="s">
        <v>12</v>
      </c>
      <c r="F82">
        <v>735</v>
      </c>
    </row>
    <row r="83" spans="1:6" outlineLevel="2" x14ac:dyDescent="0.3">
      <c r="A83" t="s">
        <v>12</v>
      </c>
      <c r="B83">
        <v>11327</v>
      </c>
      <c r="E83" t="s">
        <v>12</v>
      </c>
      <c r="F83">
        <v>11327</v>
      </c>
    </row>
    <row r="84" spans="1:6" outlineLevel="2" x14ac:dyDescent="0.3">
      <c r="A84" t="s">
        <v>12</v>
      </c>
      <c r="B84">
        <v>6739</v>
      </c>
      <c r="E84" t="s">
        <v>12</v>
      </c>
      <c r="F84">
        <v>6739</v>
      </c>
    </row>
    <row r="85" spans="1:6" outlineLevel="2" x14ac:dyDescent="0.3">
      <c r="A85" t="s">
        <v>12</v>
      </c>
      <c r="B85">
        <v>5093</v>
      </c>
      <c r="E85" t="s">
        <v>12</v>
      </c>
      <c r="F85">
        <v>5093</v>
      </c>
    </row>
    <row r="86" spans="1:6" outlineLevel="2" x14ac:dyDescent="0.3">
      <c r="A86" t="s">
        <v>12</v>
      </c>
      <c r="B86">
        <v>8245</v>
      </c>
      <c r="E86" t="s">
        <v>12</v>
      </c>
      <c r="F86">
        <v>8245</v>
      </c>
    </row>
    <row r="87" spans="1:6" outlineLevel="2" x14ac:dyDescent="0.3">
      <c r="A87" t="s">
        <v>12</v>
      </c>
      <c r="B87">
        <v>9847</v>
      </c>
      <c r="E87" t="s">
        <v>12</v>
      </c>
      <c r="F87">
        <v>9847</v>
      </c>
    </row>
    <row r="88" spans="1:6" outlineLevel="2" x14ac:dyDescent="0.3">
      <c r="A88" t="s">
        <v>12</v>
      </c>
      <c r="B88">
        <v>2416</v>
      </c>
      <c r="E88" t="s">
        <v>12</v>
      </c>
      <c r="F88">
        <v>2416</v>
      </c>
    </row>
    <row r="89" spans="1:6" outlineLevel="2" x14ac:dyDescent="0.3">
      <c r="A89" t="s">
        <v>12</v>
      </c>
      <c r="B89">
        <v>2745</v>
      </c>
      <c r="E89" t="s">
        <v>12</v>
      </c>
      <c r="F89">
        <v>2745</v>
      </c>
    </row>
    <row r="90" spans="1:6" outlineLevel="2" x14ac:dyDescent="0.3">
      <c r="A90" t="s">
        <v>12</v>
      </c>
      <c r="B90">
        <v>22509</v>
      </c>
      <c r="E90" t="s">
        <v>12</v>
      </c>
      <c r="F90">
        <v>22509</v>
      </c>
    </row>
    <row r="91" spans="1:6" outlineLevel="2" x14ac:dyDescent="0.3">
      <c r="A91" t="s">
        <v>12</v>
      </c>
      <c r="B91">
        <v>4840</v>
      </c>
      <c r="E91" t="s">
        <v>12</v>
      </c>
      <c r="F91">
        <v>4840</v>
      </c>
    </row>
    <row r="92" spans="1:6" outlineLevel="2" x14ac:dyDescent="0.3">
      <c r="A92" t="s">
        <v>12</v>
      </c>
      <c r="B92">
        <v>14858</v>
      </c>
      <c r="E92" t="s">
        <v>12</v>
      </c>
      <c r="F92">
        <v>14858</v>
      </c>
    </row>
    <row r="93" spans="1:6" outlineLevel="2" x14ac:dyDescent="0.3">
      <c r="A93" t="s">
        <v>12</v>
      </c>
      <c r="B93">
        <v>18577</v>
      </c>
      <c r="E93" t="s">
        <v>12</v>
      </c>
      <c r="F93">
        <v>18577</v>
      </c>
    </row>
    <row r="94" spans="1:6" outlineLevel="2" x14ac:dyDescent="0.3">
      <c r="A94" t="s">
        <v>12</v>
      </c>
      <c r="B94">
        <v>18377</v>
      </c>
      <c r="E94" t="s">
        <v>12</v>
      </c>
      <c r="F94">
        <v>18377</v>
      </c>
    </row>
    <row r="95" spans="1:6" outlineLevel="2" x14ac:dyDescent="0.3">
      <c r="A95" t="s">
        <v>12</v>
      </c>
      <c r="B95">
        <v>22354</v>
      </c>
      <c r="E95" t="s">
        <v>12</v>
      </c>
      <c r="F95">
        <v>22354</v>
      </c>
    </row>
    <row r="96" spans="1:6" outlineLevel="2" x14ac:dyDescent="0.3">
      <c r="A96" t="s">
        <v>12</v>
      </c>
      <c r="B96">
        <v>15923</v>
      </c>
      <c r="E96" t="s">
        <v>12</v>
      </c>
      <c r="F96">
        <v>15923</v>
      </c>
    </row>
    <row r="97" spans="1:6" outlineLevel="2" x14ac:dyDescent="0.3">
      <c r="A97" t="s">
        <v>12</v>
      </c>
      <c r="B97">
        <v>2014</v>
      </c>
      <c r="E97" t="s">
        <v>12</v>
      </c>
      <c r="F97">
        <v>2014</v>
      </c>
    </row>
    <row r="98" spans="1:6" outlineLevel="2" x14ac:dyDescent="0.3">
      <c r="A98" t="s">
        <v>12</v>
      </c>
      <c r="B98">
        <v>23303</v>
      </c>
      <c r="E98" t="s">
        <v>12</v>
      </c>
      <c r="F98">
        <v>23303</v>
      </c>
    </row>
    <row r="99" spans="1:6" outlineLevel="2" x14ac:dyDescent="0.3">
      <c r="A99" t="s">
        <v>12</v>
      </c>
      <c r="B99">
        <v>15457</v>
      </c>
      <c r="E99" t="s">
        <v>12</v>
      </c>
      <c r="F99">
        <v>15457</v>
      </c>
    </row>
    <row r="100" spans="1:6" outlineLevel="2" x14ac:dyDescent="0.3">
      <c r="A100" t="s">
        <v>12</v>
      </c>
      <c r="B100">
        <v>24229</v>
      </c>
      <c r="E100" t="s">
        <v>12</v>
      </c>
      <c r="F100">
        <v>24229</v>
      </c>
    </row>
    <row r="101" spans="1:6" outlineLevel="2" x14ac:dyDescent="0.3">
      <c r="A101" t="s">
        <v>12</v>
      </c>
      <c r="B101">
        <v>19895</v>
      </c>
      <c r="E101" t="s">
        <v>12</v>
      </c>
      <c r="F101">
        <v>19895</v>
      </c>
    </row>
    <row r="102" spans="1:6" outlineLevel="2" x14ac:dyDescent="0.3">
      <c r="A102" t="s">
        <v>12</v>
      </c>
      <c r="B102">
        <v>6454</v>
      </c>
      <c r="E102" t="s">
        <v>12</v>
      </c>
      <c r="F102">
        <v>6454</v>
      </c>
    </row>
    <row r="103" spans="1:6" outlineLevel="2" x14ac:dyDescent="0.3">
      <c r="A103" t="s">
        <v>12</v>
      </c>
      <c r="B103">
        <v>20859</v>
      </c>
      <c r="E103" t="s">
        <v>12</v>
      </c>
      <c r="F103">
        <v>20859</v>
      </c>
    </row>
    <row r="104" spans="1:6" outlineLevel="2" x14ac:dyDescent="0.3">
      <c r="A104" t="s">
        <v>12</v>
      </c>
      <c r="B104">
        <v>18980</v>
      </c>
      <c r="E104" t="s">
        <v>12</v>
      </c>
      <c r="F104">
        <v>18980</v>
      </c>
    </row>
    <row r="105" spans="1:6" outlineLevel="2" x14ac:dyDescent="0.3">
      <c r="A105" t="s">
        <v>12</v>
      </c>
      <c r="B105">
        <v>10722</v>
      </c>
      <c r="E105" t="s">
        <v>12</v>
      </c>
      <c r="F105">
        <v>10722</v>
      </c>
    </row>
    <row r="106" spans="1:6" outlineLevel="1" x14ac:dyDescent="0.3">
      <c r="E106" s="2" t="s">
        <v>219</v>
      </c>
      <c r="F106">
        <f>SUBTOTAL(5,F72:F105)</f>
        <v>712</v>
      </c>
    </row>
    <row r="107" spans="1:6" outlineLevel="1" x14ac:dyDescent="0.3">
      <c r="A107" s="2" t="s">
        <v>215</v>
      </c>
      <c r="B107">
        <f>SUBTOTAL(4,B72:B105)</f>
        <v>24229</v>
      </c>
    </row>
    <row r="108" spans="1:6" outlineLevel="1" x14ac:dyDescent="0.3"/>
    <row r="109" spans="1:6" outlineLevel="1" x14ac:dyDescent="0.3">
      <c r="A109" s="2" t="s">
        <v>216</v>
      </c>
      <c r="B109">
        <f>SUBTOTAL(4,B2:B108)</f>
        <v>24868</v>
      </c>
    </row>
    <row r="110" spans="1:6" outlineLevel="1" x14ac:dyDescent="0.3"/>
    <row r="111" spans="1:6" outlineLevel="1" x14ac:dyDescent="0.3">
      <c r="E111" s="2" t="s">
        <v>220</v>
      </c>
      <c r="F111">
        <f>SUBTOTAL(5,F2:F110)</f>
        <v>555</v>
      </c>
    </row>
  </sheetData>
  <autoFilter ref="A1:B1" xr:uid="{725AE75A-859F-4B6F-8128-2E65D2883A53}">
    <sortState xmlns:xlrd2="http://schemas.microsoft.com/office/spreadsheetml/2017/richdata2" ref="A2:B101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786C-A129-44F0-98E4-E010F777685D}">
  <dimension ref="A1:K101"/>
  <sheetViews>
    <sheetView workbookViewId="0">
      <selection activeCell="G16" sqref="G16"/>
    </sheetView>
  </sheetViews>
  <sheetFormatPr defaultRowHeight="14.4" x14ac:dyDescent="0.3"/>
  <cols>
    <col min="1" max="1" width="17.109375" bestFit="1" customWidth="1"/>
  </cols>
  <sheetData>
    <row r="1" spans="1:11" x14ac:dyDescent="0.3">
      <c r="A1" t="s">
        <v>3</v>
      </c>
      <c r="B1" t="s">
        <v>222</v>
      </c>
      <c r="C1" t="s">
        <v>223</v>
      </c>
    </row>
    <row r="2" spans="1:11" x14ac:dyDescent="0.3">
      <c r="A2" t="s">
        <v>11</v>
      </c>
      <c r="B2" t="str">
        <f>LEFT(A2,5)</f>
        <v xml:space="preserve">Neha </v>
      </c>
      <c r="C2" t="str">
        <f>RIGHT(A2,5)</f>
        <v>Patel</v>
      </c>
    </row>
    <row r="3" spans="1:11" x14ac:dyDescent="0.3">
      <c r="A3" t="s">
        <v>11</v>
      </c>
      <c r="B3" t="str">
        <f t="shared" ref="B3:B66" si="0">LEFT(A3,5)</f>
        <v xml:space="preserve">Neha </v>
      </c>
      <c r="C3" t="str">
        <f t="shared" ref="C3:C66" si="1">RIGHT(A3,5)</f>
        <v>Patel</v>
      </c>
    </row>
    <row r="4" spans="1:11" x14ac:dyDescent="0.3">
      <c r="A4" t="s">
        <v>21</v>
      </c>
      <c r="B4" t="str">
        <f t="shared" si="0"/>
        <v>Priya</v>
      </c>
      <c r="C4" t="str">
        <f t="shared" si="1"/>
        <v>Singh</v>
      </c>
      <c r="K4">
        <v>9</v>
      </c>
    </row>
    <row r="5" spans="1:11" x14ac:dyDescent="0.3">
      <c r="A5" t="s">
        <v>25</v>
      </c>
      <c r="B5" t="str">
        <f t="shared" si="0"/>
        <v>Vikas</v>
      </c>
      <c r="C5" t="str">
        <f t="shared" si="1"/>
        <v>Gupta</v>
      </c>
    </row>
    <row r="6" spans="1:11" x14ac:dyDescent="0.3">
      <c r="A6" t="s">
        <v>25</v>
      </c>
      <c r="B6" t="str">
        <f t="shared" si="0"/>
        <v>Vikas</v>
      </c>
      <c r="C6" t="str">
        <f t="shared" si="1"/>
        <v>Gupta</v>
      </c>
      <c r="K6" t="s">
        <v>221</v>
      </c>
    </row>
    <row r="7" spans="1:11" x14ac:dyDescent="0.3">
      <c r="A7" t="s">
        <v>11</v>
      </c>
      <c r="B7" t="str">
        <f t="shared" si="0"/>
        <v xml:space="preserve">Neha </v>
      </c>
      <c r="C7" t="str">
        <f t="shared" si="1"/>
        <v>Patel</v>
      </c>
    </row>
    <row r="8" spans="1:11" x14ac:dyDescent="0.3">
      <c r="A8" t="s">
        <v>35</v>
      </c>
      <c r="B8" t="str">
        <f t="shared" si="0"/>
        <v xml:space="preserve">Amit </v>
      </c>
      <c r="C8" t="str">
        <f t="shared" si="1"/>
        <v xml:space="preserve"> Shah</v>
      </c>
    </row>
    <row r="9" spans="1:11" x14ac:dyDescent="0.3">
      <c r="A9" t="s">
        <v>38</v>
      </c>
      <c r="B9" t="str">
        <f t="shared" si="0"/>
        <v>Karan</v>
      </c>
      <c r="C9" t="str">
        <f t="shared" si="1"/>
        <v>Mehta</v>
      </c>
    </row>
    <row r="10" spans="1:11" x14ac:dyDescent="0.3">
      <c r="A10" t="s">
        <v>35</v>
      </c>
      <c r="B10" t="str">
        <f t="shared" si="0"/>
        <v xml:space="preserve">Amit </v>
      </c>
      <c r="C10" t="str">
        <f t="shared" si="1"/>
        <v xml:space="preserve"> Shah</v>
      </c>
    </row>
    <row r="11" spans="1:11" x14ac:dyDescent="0.3">
      <c r="A11" t="s">
        <v>11</v>
      </c>
      <c r="B11" t="str">
        <f t="shared" si="0"/>
        <v xml:space="preserve">Neha </v>
      </c>
      <c r="C11" t="str">
        <f t="shared" si="1"/>
        <v>Patel</v>
      </c>
    </row>
    <row r="12" spans="1:11" x14ac:dyDescent="0.3">
      <c r="A12" t="s">
        <v>45</v>
      </c>
      <c r="B12" t="str">
        <f t="shared" si="0"/>
        <v>Sneha</v>
      </c>
      <c r="C12" t="str">
        <f t="shared" si="1"/>
        <v xml:space="preserve"> Jain</v>
      </c>
    </row>
    <row r="13" spans="1:11" x14ac:dyDescent="0.3">
      <c r="A13" t="s">
        <v>21</v>
      </c>
      <c r="B13" t="str">
        <f t="shared" si="0"/>
        <v>Priya</v>
      </c>
      <c r="C13" t="str">
        <f t="shared" si="1"/>
        <v>Singh</v>
      </c>
    </row>
    <row r="14" spans="1:11" x14ac:dyDescent="0.3">
      <c r="A14" t="s">
        <v>21</v>
      </c>
      <c r="B14" t="str">
        <f t="shared" si="0"/>
        <v>Priya</v>
      </c>
      <c r="C14" t="str">
        <f t="shared" si="1"/>
        <v>Singh</v>
      </c>
    </row>
    <row r="15" spans="1:11" x14ac:dyDescent="0.3">
      <c r="A15" t="s">
        <v>45</v>
      </c>
      <c r="B15" t="str">
        <f t="shared" si="0"/>
        <v>Sneha</v>
      </c>
      <c r="C15" t="str">
        <f t="shared" si="1"/>
        <v xml:space="preserve"> Jain</v>
      </c>
    </row>
    <row r="16" spans="1:11" x14ac:dyDescent="0.3">
      <c r="A16" t="s">
        <v>21</v>
      </c>
      <c r="B16" t="str">
        <f t="shared" si="0"/>
        <v>Priya</v>
      </c>
      <c r="C16" t="str">
        <f t="shared" si="1"/>
        <v>Singh</v>
      </c>
    </row>
    <row r="17" spans="1:3" x14ac:dyDescent="0.3">
      <c r="A17" t="s">
        <v>53</v>
      </c>
      <c r="B17" t="str">
        <f t="shared" si="0"/>
        <v>Rahul</v>
      </c>
      <c r="C17" t="str">
        <f t="shared" si="1"/>
        <v>Verma</v>
      </c>
    </row>
    <row r="18" spans="1:3" x14ac:dyDescent="0.3">
      <c r="A18" t="s">
        <v>45</v>
      </c>
      <c r="B18" t="str">
        <f t="shared" si="0"/>
        <v>Sneha</v>
      </c>
      <c r="C18" t="str">
        <f t="shared" si="1"/>
        <v xml:space="preserve"> Jain</v>
      </c>
    </row>
    <row r="19" spans="1:3" x14ac:dyDescent="0.3">
      <c r="A19" t="s">
        <v>11</v>
      </c>
      <c r="B19" t="str">
        <f t="shared" si="0"/>
        <v xml:space="preserve">Neha </v>
      </c>
      <c r="C19" t="str">
        <f t="shared" si="1"/>
        <v>Patel</v>
      </c>
    </row>
    <row r="20" spans="1:3" x14ac:dyDescent="0.3">
      <c r="A20" t="s">
        <v>25</v>
      </c>
      <c r="B20" t="str">
        <f t="shared" si="0"/>
        <v>Vikas</v>
      </c>
      <c r="C20" t="str">
        <f t="shared" si="1"/>
        <v>Gupta</v>
      </c>
    </row>
    <row r="21" spans="1:3" x14ac:dyDescent="0.3">
      <c r="A21" t="s">
        <v>11</v>
      </c>
      <c r="B21" t="str">
        <f t="shared" si="0"/>
        <v xml:space="preserve">Neha </v>
      </c>
      <c r="C21" t="str">
        <f t="shared" si="1"/>
        <v>Patel</v>
      </c>
    </row>
    <row r="22" spans="1:3" x14ac:dyDescent="0.3">
      <c r="A22" t="s">
        <v>25</v>
      </c>
      <c r="B22" t="str">
        <f t="shared" si="0"/>
        <v>Vikas</v>
      </c>
      <c r="C22" t="str">
        <f t="shared" si="1"/>
        <v>Gupta</v>
      </c>
    </row>
    <row r="23" spans="1:3" x14ac:dyDescent="0.3">
      <c r="A23" t="s">
        <v>11</v>
      </c>
      <c r="B23" t="str">
        <f t="shared" si="0"/>
        <v xml:space="preserve">Neha </v>
      </c>
      <c r="C23" t="str">
        <f t="shared" si="1"/>
        <v>Patel</v>
      </c>
    </row>
    <row r="24" spans="1:3" x14ac:dyDescent="0.3">
      <c r="A24" t="s">
        <v>53</v>
      </c>
      <c r="B24" t="str">
        <f t="shared" si="0"/>
        <v>Rahul</v>
      </c>
      <c r="C24" t="str">
        <f t="shared" si="1"/>
        <v>Verma</v>
      </c>
    </row>
    <row r="25" spans="1:3" x14ac:dyDescent="0.3">
      <c r="A25" t="s">
        <v>11</v>
      </c>
      <c r="B25" t="str">
        <f t="shared" si="0"/>
        <v xml:space="preserve">Neha </v>
      </c>
      <c r="C25" t="str">
        <f t="shared" si="1"/>
        <v>Patel</v>
      </c>
    </row>
    <row r="26" spans="1:3" x14ac:dyDescent="0.3">
      <c r="A26" t="s">
        <v>11</v>
      </c>
      <c r="B26" t="str">
        <f t="shared" si="0"/>
        <v xml:space="preserve">Neha </v>
      </c>
      <c r="C26" t="str">
        <f t="shared" si="1"/>
        <v>Patel</v>
      </c>
    </row>
    <row r="27" spans="1:3" x14ac:dyDescent="0.3">
      <c r="A27" t="s">
        <v>53</v>
      </c>
      <c r="B27" t="str">
        <f t="shared" si="0"/>
        <v>Rahul</v>
      </c>
      <c r="C27" t="str">
        <f t="shared" si="1"/>
        <v>Verma</v>
      </c>
    </row>
    <row r="28" spans="1:3" x14ac:dyDescent="0.3">
      <c r="A28" t="s">
        <v>25</v>
      </c>
      <c r="B28" t="str">
        <f t="shared" si="0"/>
        <v>Vikas</v>
      </c>
      <c r="C28" t="str">
        <f t="shared" si="1"/>
        <v>Gupta</v>
      </c>
    </row>
    <row r="29" spans="1:3" x14ac:dyDescent="0.3">
      <c r="A29" t="s">
        <v>69</v>
      </c>
      <c r="B29" t="str">
        <f t="shared" si="0"/>
        <v xml:space="preserve">Riya </v>
      </c>
      <c r="C29" t="str">
        <f t="shared" si="1"/>
        <v>harma</v>
      </c>
    </row>
    <row r="30" spans="1:3" x14ac:dyDescent="0.3">
      <c r="A30" t="s">
        <v>45</v>
      </c>
      <c r="B30" t="str">
        <f t="shared" si="0"/>
        <v>Sneha</v>
      </c>
      <c r="C30" t="str">
        <f t="shared" si="1"/>
        <v xml:space="preserve"> Jain</v>
      </c>
    </row>
    <row r="31" spans="1:3" x14ac:dyDescent="0.3">
      <c r="A31" t="s">
        <v>35</v>
      </c>
      <c r="B31" t="str">
        <f t="shared" si="0"/>
        <v xml:space="preserve">Amit </v>
      </c>
      <c r="C31" t="str">
        <f t="shared" si="1"/>
        <v xml:space="preserve"> Shah</v>
      </c>
    </row>
    <row r="32" spans="1:3" x14ac:dyDescent="0.3">
      <c r="A32" t="s">
        <v>21</v>
      </c>
      <c r="B32" t="str">
        <f t="shared" si="0"/>
        <v>Priya</v>
      </c>
      <c r="C32" t="str">
        <f t="shared" si="1"/>
        <v>Singh</v>
      </c>
    </row>
    <row r="33" spans="1:3" x14ac:dyDescent="0.3">
      <c r="A33" t="s">
        <v>69</v>
      </c>
      <c r="B33" t="str">
        <f t="shared" si="0"/>
        <v xml:space="preserve">Riya </v>
      </c>
      <c r="C33" t="str">
        <f t="shared" si="1"/>
        <v>harma</v>
      </c>
    </row>
    <row r="34" spans="1:3" x14ac:dyDescent="0.3">
      <c r="A34" t="s">
        <v>11</v>
      </c>
      <c r="B34" t="str">
        <f t="shared" si="0"/>
        <v xml:space="preserve">Neha </v>
      </c>
      <c r="C34" t="str">
        <f t="shared" si="1"/>
        <v>Patel</v>
      </c>
    </row>
    <row r="35" spans="1:3" x14ac:dyDescent="0.3">
      <c r="A35" t="s">
        <v>35</v>
      </c>
      <c r="B35" t="str">
        <f t="shared" si="0"/>
        <v xml:space="preserve">Amit </v>
      </c>
      <c r="C35" t="str">
        <f t="shared" si="1"/>
        <v xml:space="preserve"> Shah</v>
      </c>
    </row>
    <row r="36" spans="1:3" x14ac:dyDescent="0.3">
      <c r="A36" t="s">
        <v>11</v>
      </c>
      <c r="B36" t="str">
        <f t="shared" si="0"/>
        <v xml:space="preserve">Neha </v>
      </c>
      <c r="C36" t="str">
        <f t="shared" si="1"/>
        <v>Patel</v>
      </c>
    </row>
    <row r="37" spans="1:3" x14ac:dyDescent="0.3">
      <c r="A37" t="s">
        <v>53</v>
      </c>
      <c r="B37" t="str">
        <f t="shared" si="0"/>
        <v>Rahul</v>
      </c>
      <c r="C37" t="str">
        <f t="shared" si="1"/>
        <v>Verma</v>
      </c>
    </row>
    <row r="38" spans="1:3" x14ac:dyDescent="0.3">
      <c r="A38" t="s">
        <v>11</v>
      </c>
      <c r="B38" t="str">
        <f t="shared" si="0"/>
        <v xml:space="preserve">Neha </v>
      </c>
      <c r="C38" t="str">
        <f t="shared" si="1"/>
        <v>Patel</v>
      </c>
    </row>
    <row r="39" spans="1:3" x14ac:dyDescent="0.3">
      <c r="A39" t="s">
        <v>25</v>
      </c>
      <c r="B39" t="str">
        <f t="shared" si="0"/>
        <v>Vikas</v>
      </c>
      <c r="C39" t="str">
        <f t="shared" si="1"/>
        <v>Gupta</v>
      </c>
    </row>
    <row r="40" spans="1:3" x14ac:dyDescent="0.3">
      <c r="A40" t="s">
        <v>25</v>
      </c>
      <c r="B40" t="str">
        <f t="shared" si="0"/>
        <v>Vikas</v>
      </c>
      <c r="C40" t="str">
        <f t="shared" si="1"/>
        <v>Gupta</v>
      </c>
    </row>
    <row r="41" spans="1:3" x14ac:dyDescent="0.3">
      <c r="A41" t="s">
        <v>69</v>
      </c>
      <c r="B41" t="str">
        <f t="shared" si="0"/>
        <v xml:space="preserve">Riya </v>
      </c>
      <c r="C41" t="str">
        <f t="shared" si="1"/>
        <v>harma</v>
      </c>
    </row>
    <row r="42" spans="1:3" x14ac:dyDescent="0.3">
      <c r="A42" t="s">
        <v>35</v>
      </c>
      <c r="B42" t="str">
        <f t="shared" si="0"/>
        <v xml:space="preserve">Amit </v>
      </c>
      <c r="C42" t="str">
        <f t="shared" si="1"/>
        <v xml:space="preserve"> Shah</v>
      </c>
    </row>
    <row r="43" spans="1:3" x14ac:dyDescent="0.3">
      <c r="A43" t="s">
        <v>53</v>
      </c>
      <c r="B43" t="str">
        <f t="shared" si="0"/>
        <v>Rahul</v>
      </c>
      <c r="C43" t="str">
        <f t="shared" si="1"/>
        <v>Verma</v>
      </c>
    </row>
    <row r="44" spans="1:3" x14ac:dyDescent="0.3">
      <c r="A44" t="s">
        <v>11</v>
      </c>
      <c r="B44" t="str">
        <f t="shared" si="0"/>
        <v xml:space="preserve">Neha </v>
      </c>
      <c r="C44" t="str">
        <f t="shared" si="1"/>
        <v>Patel</v>
      </c>
    </row>
    <row r="45" spans="1:3" x14ac:dyDescent="0.3">
      <c r="A45" t="s">
        <v>35</v>
      </c>
      <c r="B45" t="str">
        <f t="shared" si="0"/>
        <v xml:space="preserve">Amit </v>
      </c>
      <c r="C45" t="str">
        <f t="shared" si="1"/>
        <v xml:space="preserve"> Shah</v>
      </c>
    </row>
    <row r="46" spans="1:3" x14ac:dyDescent="0.3">
      <c r="A46" t="s">
        <v>45</v>
      </c>
      <c r="B46" t="str">
        <f t="shared" si="0"/>
        <v>Sneha</v>
      </c>
      <c r="C46" t="str">
        <f t="shared" si="1"/>
        <v xml:space="preserve"> Jain</v>
      </c>
    </row>
    <row r="47" spans="1:3" x14ac:dyDescent="0.3">
      <c r="A47" t="s">
        <v>69</v>
      </c>
      <c r="B47" t="str">
        <f t="shared" si="0"/>
        <v xml:space="preserve">Riya </v>
      </c>
      <c r="C47" t="str">
        <f t="shared" si="1"/>
        <v>harma</v>
      </c>
    </row>
    <row r="48" spans="1:3" x14ac:dyDescent="0.3">
      <c r="A48" t="s">
        <v>11</v>
      </c>
      <c r="B48" t="str">
        <f t="shared" si="0"/>
        <v xml:space="preserve">Neha </v>
      </c>
      <c r="C48" t="str">
        <f t="shared" si="1"/>
        <v>Patel</v>
      </c>
    </row>
    <row r="49" spans="1:3" x14ac:dyDescent="0.3">
      <c r="A49" t="s">
        <v>11</v>
      </c>
      <c r="B49" t="str">
        <f t="shared" si="0"/>
        <v xml:space="preserve">Neha </v>
      </c>
      <c r="C49" t="str">
        <f t="shared" si="1"/>
        <v>Patel</v>
      </c>
    </row>
    <row r="50" spans="1:3" x14ac:dyDescent="0.3">
      <c r="A50" t="s">
        <v>38</v>
      </c>
      <c r="B50" t="str">
        <f t="shared" si="0"/>
        <v>Karan</v>
      </c>
      <c r="C50" t="str">
        <f t="shared" si="1"/>
        <v>Mehta</v>
      </c>
    </row>
    <row r="51" spans="1:3" x14ac:dyDescent="0.3">
      <c r="A51" t="s">
        <v>53</v>
      </c>
      <c r="B51" t="str">
        <f t="shared" si="0"/>
        <v>Rahul</v>
      </c>
      <c r="C51" t="str">
        <f t="shared" si="1"/>
        <v>Verma</v>
      </c>
    </row>
    <row r="52" spans="1:3" x14ac:dyDescent="0.3">
      <c r="A52" t="s">
        <v>53</v>
      </c>
      <c r="B52" t="str">
        <f t="shared" si="0"/>
        <v>Rahul</v>
      </c>
      <c r="C52" t="str">
        <f t="shared" si="1"/>
        <v>Verma</v>
      </c>
    </row>
    <row r="53" spans="1:3" x14ac:dyDescent="0.3">
      <c r="A53" t="s">
        <v>21</v>
      </c>
      <c r="B53" t="str">
        <f t="shared" si="0"/>
        <v>Priya</v>
      </c>
      <c r="C53" t="str">
        <f t="shared" si="1"/>
        <v>Singh</v>
      </c>
    </row>
    <row r="54" spans="1:3" x14ac:dyDescent="0.3">
      <c r="A54" t="s">
        <v>11</v>
      </c>
      <c r="B54" t="str">
        <f t="shared" si="0"/>
        <v xml:space="preserve">Neha </v>
      </c>
      <c r="C54" t="str">
        <f t="shared" si="1"/>
        <v>Patel</v>
      </c>
    </row>
    <row r="55" spans="1:3" x14ac:dyDescent="0.3">
      <c r="A55" t="s">
        <v>45</v>
      </c>
      <c r="B55" t="str">
        <f t="shared" si="0"/>
        <v>Sneha</v>
      </c>
      <c r="C55" t="str">
        <f t="shared" si="1"/>
        <v xml:space="preserve"> Jain</v>
      </c>
    </row>
    <row r="56" spans="1:3" x14ac:dyDescent="0.3">
      <c r="A56" t="s">
        <v>35</v>
      </c>
      <c r="B56" t="str">
        <f t="shared" si="0"/>
        <v xml:space="preserve">Amit </v>
      </c>
      <c r="C56" t="str">
        <f t="shared" si="1"/>
        <v xml:space="preserve"> Shah</v>
      </c>
    </row>
    <row r="57" spans="1:3" x14ac:dyDescent="0.3">
      <c r="A57" t="s">
        <v>45</v>
      </c>
      <c r="B57" t="str">
        <f t="shared" si="0"/>
        <v>Sneha</v>
      </c>
      <c r="C57" t="str">
        <f t="shared" si="1"/>
        <v xml:space="preserve"> Jain</v>
      </c>
    </row>
    <row r="58" spans="1:3" x14ac:dyDescent="0.3">
      <c r="A58" t="s">
        <v>45</v>
      </c>
      <c r="B58" t="str">
        <f t="shared" si="0"/>
        <v>Sneha</v>
      </c>
      <c r="C58" t="str">
        <f t="shared" si="1"/>
        <v xml:space="preserve"> Jain</v>
      </c>
    </row>
    <row r="59" spans="1:3" x14ac:dyDescent="0.3">
      <c r="A59" t="s">
        <v>45</v>
      </c>
      <c r="B59" t="str">
        <f t="shared" si="0"/>
        <v>Sneha</v>
      </c>
      <c r="C59" t="str">
        <f t="shared" si="1"/>
        <v xml:space="preserve"> Jain</v>
      </c>
    </row>
    <row r="60" spans="1:3" x14ac:dyDescent="0.3">
      <c r="A60" t="s">
        <v>53</v>
      </c>
      <c r="B60" t="str">
        <f t="shared" si="0"/>
        <v>Rahul</v>
      </c>
      <c r="C60" t="str">
        <f t="shared" si="1"/>
        <v>Verma</v>
      </c>
    </row>
    <row r="61" spans="1:3" x14ac:dyDescent="0.3">
      <c r="A61" t="s">
        <v>38</v>
      </c>
      <c r="B61" t="str">
        <f t="shared" si="0"/>
        <v>Karan</v>
      </c>
      <c r="C61" t="str">
        <f t="shared" si="1"/>
        <v>Mehta</v>
      </c>
    </row>
    <row r="62" spans="1:3" x14ac:dyDescent="0.3">
      <c r="A62" t="s">
        <v>21</v>
      </c>
      <c r="B62" t="str">
        <f t="shared" si="0"/>
        <v>Priya</v>
      </c>
      <c r="C62" t="str">
        <f t="shared" si="1"/>
        <v>Singh</v>
      </c>
    </row>
    <row r="63" spans="1:3" x14ac:dyDescent="0.3">
      <c r="A63" t="s">
        <v>21</v>
      </c>
      <c r="B63" t="str">
        <f t="shared" si="0"/>
        <v>Priya</v>
      </c>
      <c r="C63" t="str">
        <f t="shared" si="1"/>
        <v>Singh</v>
      </c>
    </row>
    <row r="64" spans="1:3" x14ac:dyDescent="0.3">
      <c r="A64" t="s">
        <v>25</v>
      </c>
      <c r="B64" t="str">
        <f t="shared" si="0"/>
        <v>Vikas</v>
      </c>
      <c r="C64" t="str">
        <f t="shared" si="1"/>
        <v>Gupta</v>
      </c>
    </row>
    <row r="65" spans="1:3" x14ac:dyDescent="0.3">
      <c r="A65" t="s">
        <v>53</v>
      </c>
      <c r="B65" t="str">
        <f t="shared" si="0"/>
        <v>Rahul</v>
      </c>
      <c r="C65" t="str">
        <f t="shared" si="1"/>
        <v>Verma</v>
      </c>
    </row>
    <row r="66" spans="1:3" x14ac:dyDescent="0.3">
      <c r="A66" t="s">
        <v>45</v>
      </c>
      <c r="B66" t="str">
        <f t="shared" si="0"/>
        <v>Sneha</v>
      </c>
      <c r="C66" t="str">
        <f t="shared" si="1"/>
        <v xml:space="preserve"> Jain</v>
      </c>
    </row>
    <row r="67" spans="1:3" x14ac:dyDescent="0.3">
      <c r="A67" t="s">
        <v>21</v>
      </c>
      <c r="B67" t="str">
        <f t="shared" ref="B67:B101" si="2">LEFT(A67,5)</f>
        <v>Priya</v>
      </c>
      <c r="C67" t="str">
        <f t="shared" ref="C67:C101" si="3">RIGHT(A67,5)</f>
        <v>Singh</v>
      </c>
    </row>
    <row r="68" spans="1:3" x14ac:dyDescent="0.3">
      <c r="A68" t="s">
        <v>21</v>
      </c>
      <c r="B68" t="str">
        <f t="shared" si="2"/>
        <v>Priya</v>
      </c>
      <c r="C68" t="str">
        <f t="shared" si="3"/>
        <v>Singh</v>
      </c>
    </row>
    <row r="69" spans="1:3" x14ac:dyDescent="0.3">
      <c r="A69" t="s">
        <v>11</v>
      </c>
      <c r="B69" t="str">
        <f t="shared" si="2"/>
        <v xml:space="preserve">Neha </v>
      </c>
      <c r="C69" t="str">
        <f t="shared" si="3"/>
        <v>Patel</v>
      </c>
    </row>
    <row r="70" spans="1:3" x14ac:dyDescent="0.3">
      <c r="A70" t="s">
        <v>45</v>
      </c>
      <c r="B70" t="str">
        <f t="shared" si="2"/>
        <v>Sneha</v>
      </c>
      <c r="C70" t="str">
        <f t="shared" si="3"/>
        <v xml:space="preserve"> Jain</v>
      </c>
    </row>
    <row r="71" spans="1:3" x14ac:dyDescent="0.3">
      <c r="A71" t="s">
        <v>25</v>
      </c>
      <c r="B71" t="str">
        <f t="shared" si="2"/>
        <v>Vikas</v>
      </c>
      <c r="C71" t="str">
        <f t="shared" si="3"/>
        <v>Gupta</v>
      </c>
    </row>
    <row r="72" spans="1:3" x14ac:dyDescent="0.3">
      <c r="A72" t="s">
        <v>35</v>
      </c>
      <c r="B72" t="str">
        <f t="shared" si="2"/>
        <v xml:space="preserve">Amit </v>
      </c>
      <c r="C72" t="str">
        <f t="shared" si="3"/>
        <v xml:space="preserve"> Shah</v>
      </c>
    </row>
    <row r="73" spans="1:3" x14ac:dyDescent="0.3">
      <c r="A73" t="s">
        <v>45</v>
      </c>
      <c r="B73" t="str">
        <f t="shared" si="2"/>
        <v>Sneha</v>
      </c>
      <c r="C73" t="str">
        <f t="shared" si="3"/>
        <v xml:space="preserve"> Jain</v>
      </c>
    </row>
    <row r="74" spans="1:3" x14ac:dyDescent="0.3">
      <c r="A74" t="s">
        <v>53</v>
      </c>
      <c r="B74" t="str">
        <f t="shared" si="2"/>
        <v>Rahul</v>
      </c>
      <c r="C74" t="str">
        <f t="shared" si="3"/>
        <v>Verma</v>
      </c>
    </row>
    <row r="75" spans="1:3" x14ac:dyDescent="0.3">
      <c r="A75" t="s">
        <v>38</v>
      </c>
      <c r="B75" t="str">
        <f t="shared" si="2"/>
        <v>Karan</v>
      </c>
      <c r="C75" t="str">
        <f t="shared" si="3"/>
        <v>Mehta</v>
      </c>
    </row>
    <row r="76" spans="1:3" x14ac:dyDescent="0.3">
      <c r="A76" t="s">
        <v>69</v>
      </c>
      <c r="B76" t="str">
        <f t="shared" si="2"/>
        <v xml:space="preserve">Riya </v>
      </c>
      <c r="C76" t="str">
        <f t="shared" si="3"/>
        <v>harma</v>
      </c>
    </row>
    <row r="77" spans="1:3" x14ac:dyDescent="0.3">
      <c r="A77" t="s">
        <v>21</v>
      </c>
      <c r="B77" t="str">
        <f t="shared" si="2"/>
        <v>Priya</v>
      </c>
      <c r="C77" t="str">
        <f t="shared" si="3"/>
        <v>Singh</v>
      </c>
    </row>
    <row r="78" spans="1:3" x14ac:dyDescent="0.3">
      <c r="A78" t="s">
        <v>35</v>
      </c>
      <c r="B78" t="str">
        <f t="shared" si="2"/>
        <v xml:space="preserve">Amit </v>
      </c>
      <c r="C78" t="str">
        <f t="shared" si="3"/>
        <v xml:space="preserve"> Shah</v>
      </c>
    </row>
    <row r="79" spans="1:3" x14ac:dyDescent="0.3">
      <c r="A79" t="s">
        <v>69</v>
      </c>
      <c r="B79" t="str">
        <f t="shared" si="2"/>
        <v xml:space="preserve">Riya </v>
      </c>
      <c r="C79" t="str">
        <f t="shared" si="3"/>
        <v>harma</v>
      </c>
    </row>
    <row r="80" spans="1:3" x14ac:dyDescent="0.3">
      <c r="A80" t="s">
        <v>69</v>
      </c>
      <c r="B80" t="str">
        <f t="shared" si="2"/>
        <v xml:space="preserve">Riya </v>
      </c>
      <c r="C80" t="str">
        <f t="shared" si="3"/>
        <v>harma</v>
      </c>
    </row>
    <row r="81" spans="1:3" x14ac:dyDescent="0.3">
      <c r="A81" t="s">
        <v>25</v>
      </c>
      <c r="B81" t="str">
        <f t="shared" si="2"/>
        <v>Vikas</v>
      </c>
      <c r="C81" t="str">
        <f t="shared" si="3"/>
        <v>Gupta</v>
      </c>
    </row>
    <row r="82" spans="1:3" x14ac:dyDescent="0.3">
      <c r="A82" t="s">
        <v>69</v>
      </c>
      <c r="B82" t="str">
        <f t="shared" si="2"/>
        <v xml:space="preserve">Riya </v>
      </c>
      <c r="C82" t="str">
        <f t="shared" si="3"/>
        <v>harma</v>
      </c>
    </row>
    <row r="83" spans="1:3" x14ac:dyDescent="0.3">
      <c r="A83" t="s">
        <v>21</v>
      </c>
      <c r="B83" t="str">
        <f t="shared" si="2"/>
        <v>Priya</v>
      </c>
      <c r="C83" t="str">
        <f t="shared" si="3"/>
        <v>Singh</v>
      </c>
    </row>
    <row r="84" spans="1:3" x14ac:dyDescent="0.3">
      <c r="A84" t="s">
        <v>45</v>
      </c>
      <c r="B84" t="str">
        <f t="shared" si="2"/>
        <v>Sneha</v>
      </c>
      <c r="C84" t="str">
        <f t="shared" si="3"/>
        <v xml:space="preserve"> Jain</v>
      </c>
    </row>
    <row r="85" spans="1:3" x14ac:dyDescent="0.3">
      <c r="A85" t="s">
        <v>53</v>
      </c>
      <c r="B85" t="str">
        <f t="shared" si="2"/>
        <v>Rahul</v>
      </c>
      <c r="C85" t="str">
        <f t="shared" si="3"/>
        <v>Verma</v>
      </c>
    </row>
    <row r="86" spans="1:3" x14ac:dyDescent="0.3">
      <c r="A86" t="s">
        <v>69</v>
      </c>
      <c r="B86" t="str">
        <f t="shared" si="2"/>
        <v xml:space="preserve">Riya </v>
      </c>
      <c r="C86" t="str">
        <f t="shared" si="3"/>
        <v>harma</v>
      </c>
    </row>
    <row r="87" spans="1:3" x14ac:dyDescent="0.3">
      <c r="A87" t="s">
        <v>35</v>
      </c>
      <c r="B87" t="str">
        <f t="shared" si="2"/>
        <v xml:space="preserve">Amit </v>
      </c>
      <c r="C87" t="str">
        <f t="shared" si="3"/>
        <v xml:space="preserve"> Shah</v>
      </c>
    </row>
    <row r="88" spans="1:3" x14ac:dyDescent="0.3">
      <c r="A88" t="s">
        <v>25</v>
      </c>
      <c r="B88" t="str">
        <f t="shared" si="2"/>
        <v>Vikas</v>
      </c>
      <c r="C88" t="str">
        <f t="shared" si="3"/>
        <v>Gupta</v>
      </c>
    </row>
    <row r="89" spans="1:3" x14ac:dyDescent="0.3">
      <c r="A89" t="s">
        <v>69</v>
      </c>
      <c r="B89" t="str">
        <f t="shared" si="2"/>
        <v xml:space="preserve">Riya </v>
      </c>
      <c r="C89" t="str">
        <f t="shared" si="3"/>
        <v>harma</v>
      </c>
    </row>
    <row r="90" spans="1:3" x14ac:dyDescent="0.3">
      <c r="A90" t="s">
        <v>69</v>
      </c>
      <c r="B90" t="str">
        <f t="shared" si="2"/>
        <v xml:space="preserve">Riya </v>
      </c>
      <c r="C90" t="str">
        <f t="shared" si="3"/>
        <v>harma</v>
      </c>
    </row>
    <row r="91" spans="1:3" x14ac:dyDescent="0.3">
      <c r="A91" t="s">
        <v>35</v>
      </c>
      <c r="B91" t="str">
        <f t="shared" si="2"/>
        <v xml:space="preserve">Amit </v>
      </c>
      <c r="C91" t="str">
        <f t="shared" si="3"/>
        <v xml:space="preserve"> Shah</v>
      </c>
    </row>
    <row r="92" spans="1:3" x14ac:dyDescent="0.3">
      <c r="A92" t="s">
        <v>38</v>
      </c>
      <c r="B92" t="str">
        <f t="shared" si="2"/>
        <v>Karan</v>
      </c>
      <c r="C92" t="str">
        <f t="shared" si="3"/>
        <v>Mehta</v>
      </c>
    </row>
    <row r="93" spans="1:3" x14ac:dyDescent="0.3">
      <c r="A93" t="s">
        <v>25</v>
      </c>
      <c r="B93" t="str">
        <f t="shared" si="2"/>
        <v>Vikas</v>
      </c>
      <c r="C93" t="str">
        <f t="shared" si="3"/>
        <v>Gupta</v>
      </c>
    </row>
    <row r="94" spans="1:3" x14ac:dyDescent="0.3">
      <c r="A94" t="s">
        <v>35</v>
      </c>
      <c r="B94" t="str">
        <f t="shared" si="2"/>
        <v xml:space="preserve">Amit </v>
      </c>
      <c r="C94" t="str">
        <f t="shared" si="3"/>
        <v xml:space="preserve"> Shah</v>
      </c>
    </row>
    <row r="95" spans="1:3" x14ac:dyDescent="0.3">
      <c r="A95" t="s">
        <v>35</v>
      </c>
      <c r="B95" t="str">
        <f t="shared" si="2"/>
        <v xml:space="preserve">Amit </v>
      </c>
      <c r="C95" t="str">
        <f t="shared" si="3"/>
        <v xml:space="preserve"> Shah</v>
      </c>
    </row>
    <row r="96" spans="1:3" x14ac:dyDescent="0.3">
      <c r="A96" t="s">
        <v>21</v>
      </c>
      <c r="B96" t="str">
        <f t="shared" si="2"/>
        <v>Priya</v>
      </c>
      <c r="C96" t="str">
        <f t="shared" si="3"/>
        <v>Singh</v>
      </c>
    </row>
    <row r="97" spans="1:3" x14ac:dyDescent="0.3">
      <c r="A97" t="s">
        <v>69</v>
      </c>
      <c r="B97" t="str">
        <f t="shared" si="2"/>
        <v xml:space="preserve">Riya </v>
      </c>
      <c r="C97" t="str">
        <f t="shared" si="3"/>
        <v>harma</v>
      </c>
    </row>
    <row r="98" spans="1:3" x14ac:dyDescent="0.3">
      <c r="A98" t="s">
        <v>11</v>
      </c>
      <c r="B98" t="str">
        <f t="shared" si="2"/>
        <v xml:space="preserve">Neha </v>
      </c>
      <c r="C98" t="str">
        <f t="shared" si="3"/>
        <v>Patel</v>
      </c>
    </row>
    <row r="99" spans="1:3" x14ac:dyDescent="0.3">
      <c r="A99" t="s">
        <v>25</v>
      </c>
      <c r="B99" t="str">
        <f t="shared" si="2"/>
        <v>Vikas</v>
      </c>
      <c r="C99" t="str">
        <f t="shared" si="3"/>
        <v>Gupta</v>
      </c>
    </row>
    <row r="100" spans="1:3" x14ac:dyDescent="0.3">
      <c r="A100" t="s">
        <v>11</v>
      </c>
      <c r="B100" t="str">
        <f t="shared" si="2"/>
        <v xml:space="preserve">Neha </v>
      </c>
      <c r="C100" t="str">
        <f t="shared" si="3"/>
        <v>Patel</v>
      </c>
    </row>
    <row r="101" spans="1:3" x14ac:dyDescent="0.3">
      <c r="A101" t="s">
        <v>11</v>
      </c>
      <c r="B101" t="str">
        <f t="shared" si="2"/>
        <v xml:space="preserve">Neha </v>
      </c>
      <c r="C101" t="str">
        <f t="shared" si="3"/>
        <v>Patel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5341-E468-4A61-A32F-4067C791D5B4}">
  <dimension ref="A1:J101"/>
  <sheetViews>
    <sheetView topLeftCell="A14" workbookViewId="0">
      <selection activeCell="G25" sqref="G25"/>
    </sheetView>
  </sheetViews>
  <sheetFormatPr defaultRowHeight="14.4" x14ac:dyDescent="0.3"/>
  <cols>
    <col min="1" max="1" width="13.88671875" bestFit="1" customWidth="1"/>
    <col min="2" max="2" width="17.109375" bestFit="1" customWidth="1"/>
  </cols>
  <sheetData>
    <row r="1" spans="1:10" x14ac:dyDescent="0.3">
      <c r="A1" t="s">
        <v>2</v>
      </c>
      <c r="B1" t="s">
        <v>3</v>
      </c>
      <c r="C1" t="s">
        <v>229</v>
      </c>
    </row>
    <row r="2" spans="1:10" x14ac:dyDescent="0.3">
      <c r="A2" t="s">
        <v>10</v>
      </c>
      <c r="B2" t="s">
        <v>11</v>
      </c>
      <c r="C2" t="str">
        <f>_xlfn.CONCAT(LEFT(B2,3),RIGHT(A2,2))</f>
        <v>Neh02</v>
      </c>
    </row>
    <row r="3" spans="1:10" x14ac:dyDescent="0.3">
      <c r="A3" t="s">
        <v>10</v>
      </c>
      <c r="B3" t="s">
        <v>11</v>
      </c>
      <c r="C3" t="str">
        <f t="shared" ref="C3:C66" si="0">_xlfn.CONCAT(LEFT(B3,3),RIGHT(A3,2))</f>
        <v>Neh02</v>
      </c>
    </row>
    <row r="4" spans="1:10" x14ac:dyDescent="0.3">
      <c r="A4" t="s">
        <v>20</v>
      </c>
      <c r="B4" t="s">
        <v>21</v>
      </c>
      <c r="C4" t="str">
        <f t="shared" si="0"/>
        <v>Pri04</v>
      </c>
    </row>
    <row r="5" spans="1:10" x14ac:dyDescent="0.3">
      <c r="A5" t="s">
        <v>24</v>
      </c>
      <c r="B5" t="s">
        <v>25</v>
      </c>
      <c r="C5" t="str">
        <f t="shared" si="0"/>
        <v>Vik07</v>
      </c>
      <c r="J5">
        <v>10</v>
      </c>
    </row>
    <row r="6" spans="1:10" x14ac:dyDescent="0.3">
      <c r="A6" t="s">
        <v>24</v>
      </c>
      <c r="B6" t="s">
        <v>25</v>
      </c>
      <c r="C6" t="str">
        <f t="shared" si="0"/>
        <v>Vik07</v>
      </c>
    </row>
    <row r="7" spans="1:10" x14ac:dyDescent="0.3">
      <c r="A7" t="s">
        <v>10</v>
      </c>
      <c r="B7" t="s">
        <v>11</v>
      </c>
      <c r="C7" t="str">
        <f t="shared" si="0"/>
        <v>Neh02</v>
      </c>
      <c r="J7" t="s">
        <v>224</v>
      </c>
    </row>
    <row r="8" spans="1:10" x14ac:dyDescent="0.3">
      <c r="A8" t="s">
        <v>34</v>
      </c>
      <c r="B8" t="s">
        <v>35</v>
      </c>
      <c r="C8" t="str">
        <f t="shared" si="0"/>
        <v>Ami01</v>
      </c>
    </row>
    <row r="9" spans="1:10" x14ac:dyDescent="0.3">
      <c r="A9" t="s">
        <v>37</v>
      </c>
      <c r="B9" t="s">
        <v>38</v>
      </c>
      <c r="C9" t="str">
        <f t="shared" si="0"/>
        <v>Kar05</v>
      </c>
      <c r="J9" t="s">
        <v>225</v>
      </c>
    </row>
    <row r="10" spans="1:10" x14ac:dyDescent="0.3">
      <c r="A10" t="s">
        <v>34</v>
      </c>
      <c r="B10" t="s">
        <v>35</v>
      </c>
      <c r="C10" t="str">
        <f t="shared" si="0"/>
        <v>Ami01</v>
      </c>
      <c r="J10" t="s">
        <v>226</v>
      </c>
    </row>
    <row r="11" spans="1:10" x14ac:dyDescent="0.3">
      <c r="A11" t="s">
        <v>10</v>
      </c>
      <c r="B11" t="s">
        <v>11</v>
      </c>
      <c r="C11" t="str">
        <f t="shared" si="0"/>
        <v>Neh02</v>
      </c>
    </row>
    <row r="12" spans="1:10" x14ac:dyDescent="0.3">
      <c r="A12" t="s">
        <v>44</v>
      </c>
      <c r="B12" t="s">
        <v>45</v>
      </c>
      <c r="C12" t="str">
        <f t="shared" si="0"/>
        <v>Sne06</v>
      </c>
      <c r="J12" t="s">
        <v>227</v>
      </c>
    </row>
    <row r="13" spans="1:10" x14ac:dyDescent="0.3">
      <c r="A13" t="s">
        <v>20</v>
      </c>
      <c r="B13" t="s">
        <v>21</v>
      </c>
      <c r="C13" t="str">
        <f t="shared" si="0"/>
        <v>Pri04</v>
      </c>
    </row>
    <row r="14" spans="1:10" x14ac:dyDescent="0.3">
      <c r="A14" t="s">
        <v>20</v>
      </c>
      <c r="B14" t="s">
        <v>21</v>
      </c>
      <c r="C14" t="str">
        <f t="shared" si="0"/>
        <v>Pri04</v>
      </c>
      <c r="J14" t="s">
        <v>228</v>
      </c>
    </row>
    <row r="15" spans="1:10" x14ac:dyDescent="0.3">
      <c r="A15" t="s">
        <v>44</v>
      </c>
      <c r="B15" t="s">
        <v>45</v>
      </c>
      <c r="C15" t="str">
        <f t="shared" si="0"/>
        <v>Sne06</v>
      </c>
    </row>
    <row r="16" spans="1:10" x14ac:dyDescent="0.3">
      <c r="A16" t="s">
        <v>20</v>
      </c>
      <c r="B16" t="s">
        <v>21</v>
      </c>
      <c r="C16" t="str">
        <f t="shared" si="0"/>
        <v>Pri04</v>
      </c>
    </row>
    <row r="17" spans="1:3" x14ac:dyDescent="0.3">
      <c r="A17" t="s">
        <v>52</v>
      </c>
      <c r="B17" t="s">
        <v>53</v>
      </c>
      <c r="C17" t="str">
        <f t="shared" si="0"/>
        <v>Rah03</v>
      </c>
    </row>
    <row r="18" spans="1:3" x14ac:dyDescent="0.3">
      <c r="A18" t="s">
        <v>44</v>
      </c>
      <c r="B18" t="s">
        <v>45</v>
      </c>
      <c r="C18" t="str">
        <f t="shared" si="0"/>
        <v>Sne06</v>
      </c>
    </row>
    <row r="19" spans="1:3" x14ac:dyDescent="0.3">
      <c r="A19" t="s">
        <v>10</v>
      </c>
      <c r="B19" t="s">
        <v>11</v>
      </c>
      <c r="C19" t="str">
        <f t="shared" si="0"/>
        <v>Neh02</v>
      </c>
    </row>
    <row r="20" spans="1:3" x14ac:dyDescent="0.3">
      <c r="A20" t="s">
        <v>24</v>
      </c>
      <c r="B20" t="s">
        <v>25</v>
      </c>
      <c r="C20" t="str">
        <f t="shared" si="0"/>
        <v>Vik07</v>
      </c>
    </row>
    <row r="21" spans="1:3" x14ac:dyDescent="0.3">
      <c r="A21" t="s">
        <v>10</v>
      </c>
      <c r="B21" t="s">
        <v>11</v>
      </c>
      <c r="C21" t="str">
        <f t="shared" si="0"/>
        <v>Neh02</v>
      </c>
    </row>
    <row r="22" spans="1:3" x14ac:dyDescent="0.3">
      <c r="A22" t="s">
        <v>24</v>
      </c>
      <c r="B22" t="s">
        <v>25</v>
      </c>
      <c r="C22" t="str">
        <f t="shared" si="0"/>
        <v>Vik07</v>
      </c>
    </row>
    <row r="23" spans="1:3" x14ac:dyDescent="0.3">
      <c r="A23" t="s">
        <v>10</v>
      </c>
      <c r="B23" t="s">
        <v>11</v>
      </c>
      <c r="C23" t="str">
        <f t="shared" si="0"/>
        <v>Neh02</v>
      </c>
    </row>
    <row r="24" spans="1:3" x14ac:dyDescent="0.3">
      <c r="A24" t="s">
        <v>52</v>
      </c>
      <c r="B24" t="s">
        <v>53</v>
      </c>
      <c r="C24" t="str">
        <f t="shared" si="0"/>
        <v>Rah03</v>
      </c>
    </row>
    <row r="25" spans="1:3" x14ac:dyDescent="0.3">
      <c r="A25" t="s">
        <v>10</v>
      </c>
      <c r="B25" t="s">
        <v>11</v>
      </c>
      <c r="C25" t="str">
        <f t="shared" si="0"/>
        <v>Neh02</v>
      </c>
    </row>
    <row r="26" spans="1:3" x14ac:dyDescent="0.3">
      <c r="A26" t="s">
        <v>10</v>
      </c>
      <c r="B26" t="s">
        <v>11</v>
      </c>
      <c r="C26" t="str">
        <f t="shared" si="0"/>
        <v>Neh02</v>
      </c>
    </row>
    <row r="27" spans="1:3" x14ac:dyDescent="0.3">
      <c r="A27" t="s">
        <v>52</v>
      </c>
      <c r="B27" t="s">
        <v>53</v>
      </c>
      <c r="C27" t="str">
        <f t="shared" si="0"/>
        <v>Rah03</v>
      </c>
    </row>
    <row r="28" spans="1:3" x14ac:dyDescent="0.3">
      <c r="A28" t="s">
        <v>24</v>
      </c>
      <c r="B28" t="s">
        <v>25</v>
      </c>
      <c r="C28" t="str">
        <f t="shared" si="0"/>
        <v>Vik07</v>
      </c>
    </row>
    <row r="29" spans="1:3" x14ac:dyDescent="0.3">
      <c r="A29" t="s">
        <v>68</v>
      </c>
      <c r="B29" t="s">
        <v>69</v>
      </c>
      <c r="C29" t="str">
        <f t="shared" si="0"/>
        <v>Riy08</v>
      </c>
    </row>
    <row r="30" spans="1:3" x14ac:dyDescent="0.3">
      <c r="A30" t="s">
        <v>44</v>
      </c>
      <c r="B30" t="s">
        <v>45</v>
      </c>
      <c r="C30" t="str">
        <f t="shared" si="0"/>
        <v>Sne06</v>
      </c>
    </row>
    <row r="31" spans="1:3" x14ac:dyDescent="0.3">
      <c r="A31" t="s">
        <v>34</v>
      </c>
      <c r="B31" t="s">
        <v>35</v>
      </c>
      <c r="C31" t="str">
        <f t="shared" si="0"/>
        <v>Ami01</v>
      </c>
    </row>
    <row r="32" spans="1:3" x14ac:dyDescent="0.3">
      <c r="A32" t="s">
        <v>20</v>
      </c>
      <c r="B32" t="s">
        <v>21</v>
      </c>
      <c r="C32" t="str">
        <f t="shared" si="0"/>
        <v>Pri04</v>
      </c>
    </row>
    <row r="33" spans="1:3" x14ac:dyDescent="0.3">
      <c r="A33" t="s">
        <v>68</v>
      </c>
      <c r="B33" t="s">
        <v>69</v>
      </c>
      <c r="C33" t="str">
        <f t="shared" si="0"/>
        <v>Riy08</v>
      </c>
    </row>
    <row r="34" spans="1:3" x14ac:dyDescent="0.3">
      <c r="A34" t="s">
        <v>10</v>
      </c>
      <c r="B34" t="s">
        <v>11</v>
      </c>
      <c r="C34" t="str">
        <f t="shared" si="0"/>
        <v>Neh02</v>
      </c>
    </row>
    <row r="35" spans="1:3" x14ac:dyDescent="0.3">
      <c r="A35" t="s">
        <v>34</v>
      </c>
      <c r="B35" t="s">
        <v>35</v>
      </c>
      <c r="C35" t="str">
        <f t="shared" si="0"/>
        <v>Ami01</v>
      </c>
    </row>
    <row r="36" spans="1:3" x14ac:dyDescent="0.3">
      <c r="A36" t="s">
        <v>10</v>
      </c>
      <c r="B36" t="s">
        <v>11</v>
      </c>
      <c r="C36" t="str">
        <f t="shared" si="0"/>
        <v>Neh02</v>
      </c>
    </row>
    <row r="37" spans="1:3" x14ac:dyDescent="0.3">
      <c r="A37" t="s">
        <v>52</v>
      </c>
      <c r="B37" t="s">
        <v>53</v>
      </c>
      <c r="C37" t="str">
        <f t="shared" si="0"/>
        <v>Rah03</v>
      </c>
    </row>
    <row r="38" spans="1:3" x14ac:dyDescent="0.3">
      <c r="A38" t="s">
        <v>10</v>
      </c>
      <c r="B38" t="s">
        <v>11</v>
      </c>
      <c r="C38" t="str">
        <f t="shared" si="0"/>
        <v>Neh02</v>
      </c>
    </row>
    <row r="39" spans="1:3" x14ac:dyDescent="0.3">
      <c r="A39" t="s">
        <v>24</v>
      </c>
      <c r="B39" t="s">
        <v>25</v>
      </c>
      <c r="C39" t="str">
        <f t="shared" si="0"/>
        <v>Vik07</v>
      </c>
    </row>
    <row r="40" spans="1:3" x14ac:dyDescent="0.3">
      <c r="A40" t="s">
        <v>24</v>
      </c>
      <c r="B40" t="s">
        <v>25</v>
      </c>
      <c r="C40" t="str">
        <f t="shared" si="0"/>
        <v>Vik07</v>
      </c>
    </row>
    <row r="41" spans="1:3" x14ac:dyDescent="0.3">
      <c r="A41" t="s">
        <v>68</v>
      </c>
      <c r="B41" t="s">
        <v>69</v>
      </c>
      <c r="C41" t="str">
        <f t="shared" si="0"/>
        <v>Riy08</v>
      </c>
    </row>
    <row r="42" spans="1:3" x14ac:dyDescent="0.3">
      <c r="A42" t="s">
        <v>34</v>
      </c>
      <c r="B42" t="s">
        <v>35</v>
      </c>
      <c r="C42" t="str">
        <f t="shared" si="0"/>
        <v>Ami01</v>
      </c>
    </row>
    <row r="43" spans="1:3" x14ac:dyDescent="0.3">
      <c r="A43" t="s">
        <v>52</v>
      </c>
      <c r="B43" t="s">
        <v>53</v>
      </c>
      <c r="C43" t="str">
        <f t="shared" si="0"/>
        <v>Rah03</v>
      </c>
    </row>
    <row r="44" spans="1:3" x14ac:dyDescent="0.3">
      <c r="A44" t="s">
        <v>10</v>
      </c>
      <c r="B44" t="s">
        <v>11</v>
      </c>
      <c r="C44" t="str">
        <f t="shared" si="0"/>
        <v>Neh02</v>
      </c>
    </row>
    <row r="45" spans="1:3" x14ac:dyDescent="0.3">
      <c r="A45" t="s">
        <v>34</v>
      </c>
      <c r="B45" t="s">
        <v>35</v>
      </c>
      <c r="C45" t="str">
        <f t="shared" si="0"/>
        <v>Ami01</v>
      </c>
    </row>
    <row r="46" spans="1:3" x14ac:dyDescent="0.3">
      <c r="A46" t="s">
        <v>44</v>
      </c>
      <c r="B46" t="s">
        <v>45</v>
      </c>
      <c r="C46" t="str">
        <f t="shared" si="0"/>
        <v>Sne06</v>
      </c>
    </row>
    <row r="47" spans="1:3" x14ac:dyDescent="0.3">
      <c r="A47" t="s">
        <v>68</v>
      </c>
      <c r="B47" t="s">
        <v>69</v>
      </c>
      <c r="C47" t="str">
        <f t="shared" si="0"/>
        <v>Riy08</v>
      </c>
    </row>
    <row r="48" spans="1:3" x14ac:dyDescent="0.3">
      <c r="A48" t="s">
        <v>10</v>
      </c>
      <c r="B48" t="s">
        <v>11</v>
      </c>
      <c r="C48" t="str">
        <f t="shared" si="0"/>
        <v>Neh02</v>
      </c>
    </row>
    <row r="49" spans="1:3" x14ac:dyDescent="0.3">
      <c r="A49" t="s">
        <v>10</v>
      </c>
      <c r="B49" t="s">
        <v>11</v>
      </c>
      <c r="C49" t="str">
        <f t="shared" si="0"/>
        <v>Neh02</v>
      </c>
    </row>
    <row r="50" spans="1:3" x14ac:dyDescent="0.3">
      <c r="A50" t="s">
        <v>37</v>
      </c>
      <c r="B50" t="s">
        <v>38</v>
      </c>
      <c r="C50" t="str">
        <f t="shared" si="0"/>
        <v>Kar05</v>
      </c>
    </row>
    <row r="51" spans="1:3" x14ac:dyDescent="0.3">
      <c r="A51" t="s">
        <v>52</v>
      </c>
      <c r="B51" t="s">
        <v>53</v>
      </c>
      <c r="C51" t="str">
        <f t="shared" si="0"/>
        <v>Rah03</v>
      </c>
    </row>
    <row r="52" spans="1:3" x14ac:dyDescent="0.3">
      <c r="A52" t="s">
        <v>52</v>
      </c>
      <c r="B52" t="s">
        <v>53</v>
      </c>
      <c r="C52" t="str">
        <f t="shared" si="0"/>
        <v>Rah03</v>
      </c>
    </row>
    <row r="53" spans="1:3" x14ac:dyDescent="0.3">
      <c r="A53" t="s">
        <v>20</v>
      </c>
      <c r="B53" t="s">
        <v>21</v>
      </c>
      <c r="C53" t="str">
        <f t="shared" si="0"/>
        <v>Pri04</v>
      </c>
    </row>
    <row r="54" spans="1:3" x14ac:dyDescent="0.3">
      <c r="A54" t="s">
        <v>10</v>
      </c>
      <c r="B54" t="s">
        <v>11</v>
      </c>
      <c r="C54" t="str">
        <f t="shared" si="0"/>
        <v>Neh02</v>
      </c>
    </row>
    <row r="55" spans="1:3" x14ac:dyDescent="0.3">
      <c r="A55" t="s">
        <v>44</v>
      </c>
      <c r="B55" t="s">
        <v>45</v>
      </c>
      <c r="C55" t="str">
        <f t="shared" si="0"/>
        <v>Sne06</v>
      </c>
    </row>
    <row r="56" spans="1:3" x14ac:dyDescent="0.3">
      <c r="A56" t="s">
        <v>34</v>
      </c>
      <c r="B56" t="s">
        <v>35</v>
      </c>
      <c r="C56" t="str">
        <f t="shared" si="0"/>
        <v>Ami01</v>
      </c>
    </row>
    <row r="57" spans="1:3" x14ac:dyDescent="0.3">
      <c r="A57" t="s">
        <v>44</v>
      </c>
      <c r="B57" t="s">
        <v>45</v>
      </c>
      <c r="C57" t="str">
        <f t="shared" si="0"/>
        <v>Sne06</v>
      </c>
    </row>
    <row r="58" spans="1:3" x14ac:dyDescent="0.3">
      <c r="A58" t="s">
        <v>44</v>
      </c>
      <c r="B58" t="s">
        <v>45</v>
      </c>
      <c r="C58" t="str">
        <f t="shared" si="0"/>
        <v>Sne06</v>
      </c>
    </row>
    <row r="59" spans="1:3" x14ac:dyDescent="0.3">
      <c r="A59" t="s">
        <v>44</v>
      </c>
      <c r="B59" t="s">
        <v>45</v>
      </c>
      <c r="C59" t="str">
        <f t="shared" si="0"/>
        <v>Sne06</v>
      </c>
    </row>
    <row r="60" spans="1:3" x14ac:dyDescent="0.3">
      <c r="A60" t="s">
        <v>52</v>
      </c>
      <c r="B60" t="s">
        <v>53</v>
      </c>
      <c r="C60" t="str">
        <f t="shared" si="0"/>
        <v>Rah03</v>
      </c>
    </row>
    <row r="61" spans="1:3" x14ac:dyDescent="0.3">
      <c r="A61" t="s">
        <v>37</v>
      </c>
      <c r="B61" t="s">
        <v>38</v>
      </c>
      <c r="C61" t="str">
        <f t="shared" si="0"/>
        <v>Kar05</v>
      </c>
    </row>
    <row r="62" spans="1:3" x14ac:dyDescent="0.3">
      <c r="A62" t="s">
        <v>20</v>
      </c>
      <c r="B62" t="s">
        <v>21</v>
      </c>
      <c r="C62" t="str">
        <f t="shared" si="0"/>
        <v>Pri04</v>
      </c>
    </row>
    <row r="63" spans="1:3" x14ac:dyDescent="0.3">
      <c r="A63" t="s">
        <v>20</v>
      </c>
      <c r="B63" t="s">
        <v>21</v>
      </c>
      <c r="C63" t="str">
        <f t="shared" si="0"/>
        <v>Pri04</v>
      </c>
    </row>
    <row r="64" spans="1:3" x14ac:dyDescent="0.3">
      <c r="A64" t="s">
        <v>24</v>
      </c>
      <c r="B64" t="s">
        <v>25</v>
      </c>
      <c r="C64" t="str">
        <f t="shared" si="0"/>
        <v>Vik07</v>
      </c>
    </row>
    <row r="65" spans="1:3" x14ac:dyDescent="0.3">
      <c r="A65" t="s">
        <v>52</v>
      </c>
      <c r="B65" t="s">
        <v>53</v>
      </c>
      <c r="C65" t="str">
        <f t="shared" si="0"/>
        <v>Rah03</v>
      </c>
    </row>
    <row r="66" spans="1:3" x14ac:dyDescent="0.3">
      <c r="A66" t="s">
        <v>44</v>
      </c>
      <c r="B66" t="s">
        <v>45</v>
      </c>
      <c r="C66" t="str">
        <f t="shared" si="0"/>
        <v>Sne06</v>
      </c>
    </row>
    <row r="67" spans="1:3" x14ac:dyDescent="0.3">
      <c r="A67" t="s">
        <v>20</v>
      </c>
      <c r="B67" t="s">
        <v>21</v>
      </c>
      <c r="C67" t="str">
        <f t="shared" ref="C67:C101" si="1">_xlfn.CONCAT(LEFT(B67,3),RIGHT(A67,2))</f>
        <v>Pri04</v>
      </c>
    </row>
    <row r="68" spans="1:3" x14ac:dyDescent="0.3">
      <c r="A68" t="s">
        <v>20</v>
      </c>
      <c r="B68" t="s">
        <v>21</v>
      </c>
      <c r="C68" t="str">
        <f t="shared" si="1"/>
        <v>Pri04</v>
      </c>
    </row>
    <row r="69" spans="1:3" x14ac:dyDescent="0.3">
      <c r="A69" t="s">
        <v>10</v>
      </c>
      <c r="B69" t="s">
        <v>11</v>
      </c>
      <c r="C69" t="str">
        <f t="shared" si="1"/>
        <v>Neh02</v>
      </c>
    </row>
    <row r="70" spans="1:3" x14ac:dyDescent="0.3">
      <c r="A70" t="s">
        <v>44</v>
      </c>
      <c r="B70" t="s">
        <v>45</v>
      </c>
      <c r="C70" t="str">
        <f t="shared" si="1"/>
        <v>Sne06</v>
      </c>
    </row>
    <row r="71" spans="1:3" x14ac:dyDescent="0.3">
      <c r="A71" t="s">
        <v>24</v>
      </c>
      <c r="B71" t="s">
        <v>25</v>
      </c>
      <c r="C71" t="str">
        <f t="shared" si="1"/>
        <v>Vik07</v>
      </c>
    </row>
    <row r="72" spans="1:3" x14ac:dyDescent="0.3">
      <c r="A72" t="s">
        <v>34</v>
      </c>
      <c r="B72" t="s">
        <v>35</v>
      </c>
      <c r="C72" t="str">
        <f t="shared" si="1"/>
        <v>Ami01</v>
      </c>
    </row>
    <row r="73" spans="1:3" x14ac:dyDescent="0.3">
      <c r="A73" t="s">
        <v>44</v>
      </c>
      <c r="B73" t="s">
        <v>45</v>
      </c>
      <c r="C73" t="str">
        <f t="shared" si="1"/>
        <v>Sne06</v>
      </c>
    </row>
    <row r="74" spans="1:3" x14ac:dyDescent="0.3">
      <c r="A74" t="s">
        <v>52</v>
      </c>
      <c r="B74" t="s">
        <v>53</v>
      </c>
      <c r="C74" t="str">
        <f t="shared" si="1"/>
        <v>Rah03</v>
      </c>
    </row>
    <row r="75" spans="1:3" x14ac:dyDescent="0.3">
      <c r="A75" t="s">
        <v>37</v>
      </c>
      <c r="B75" t="s">
        <v>38</v>
      </c>
      <c r="C75" t="str">
        <f t="shared" si="1"/>
        <v>Kar05</v>
      </c>
    </row>
    <row r="76" spans="1:3" x14ac:dyDescent="0.3">
      <c r="A76" t="s">
        <v>68</v>
      </c>
      <c r="B76" t="s">
        <v>69</v>
      </c>
      <c r="C76" t="str">
        <f t="shared" si="1"/>
        <v>Riy08</v>
      </c>
    </row>
    <row r="77" spans="1:3" x14ac:dyDescent="0.3">
      <c r="A77" t="s">
        <v>20</v>
      </c>
      <c r="B77" t="s">
        <v>21</v>
      </c>
      <c r="C77" t="str">
        <f t="shared" si="1"/>
        <v>Pri04</v>
      </c>
    </row>
    <row r="78" spans="1:3" x14ac:dyDescent="0.3">
      <c r="A78" t="s">
        <v>34</v>
      </c>
      <c r="B78" t="s">
        <v>35</v>
      </c>
      <c r="C78" t="str">
        <f t="shared" si="1"/>
        <v>Ami01</v>
      </c>
    </row>
    <row r="79" spans="1:3" x14ac:dyDescent="0.3">
      <c r="A79" t="s">
        <v>68</v>
      </c>
      <c r="B79" t="s">
        <v>69</v>
      </c>
      <c r="C79" t="str">
        <f t="shared" si="1"/>
        <v>Riy08</v>
      </c>
    </row>
    <row r="80" spans="1:3" x14ac:dyDescent="0.3">
      <c r="A80" t="s">
        <v>68</v>
      </c>
      <c r="B80" t="s">
        <v>69</v>
      </c>
      <c r="C80" t="str">
        <f t="shared" si="1"/>
        <v>Riy08</v>
      </c>
    </row>
    <row r="81" spans="1:3" x14ac:dyDescent="0.3">
      <c r="A81" t="s">
        <v>24</v>
      </c>
      <c r="B81" t="s">
        <v>25</v>
      </c>
      <c r="C81" t="str">
        <f t="shared" si="1"/>
        <v>Vik07</v>
      </c>
    </row>
    <row r="82" spans="1:3" x14ac:dyDescent="0.3">
      <c r="A82" t="s">
        <v>68</v>
      </c>
      <c r="B82" t="s">
        <v>69</v>
      </c>
      <c r="C82" t="str">
        <f t="shared" si="1"/>
        <v>Riy08</v>
      </c>
    </row>
    <row r="83" spans="1:3" x14ac:dyDescent="0.3">
      <c r="A83" t="s">
        <v>20</v>
      </c>
      <c r="B83" t="s">
        <v>21</v>
      </c>
      <c r="C83" t="str">
        <f t="shared" si="1"/>
        <v>Pri04</v>
      </c>
    </row>
    <row r="84" spans="1:3" x14ac:dyDescent="0.3">
      <c r="A84" t="s">
        <v>44</v>
      </c>
      <c r="B84" t="s">
        <v>45</v>
      </c>
      <c r="C84" t="str">
        <f t="shared" si="1"/>
        <v>Sne06</v>
      </c>
    </row>
    <row r="85" spans="1:3" x14ac:dyDescent="0.3">
      <c r="A85" t="s">
        <v>52</v>
      </c>
      <c r="B85" t="s">
        <v>53</v>
      </c>
      <c r="C85" t="str">
        <f t="shared" si="1"/>
        <v>Rah03</v>
      </c>
    </row>
    <row r="86" spans="1:3" x14ac:dyDescent="0.3">
      <c r="A86" t="s">
        <v>68</v>
      </c>
      <c r="B86" t="s">
        <v>69</v>
      </c>
      <c r="C86" t="str">
        <f t="shared" si="1"/>
        <v>Riy08</v>
      </c>
    </row>
    <row r="87" spans="1:3" x14ac:dyDescent="0.3">
      <c r="A87" t="s">
        <v>34</v>
      </c>
      <c r="B87" t="s">
        <v>35</v>
      </c>
      <c r="C87" t="str">
        <f t="shared" si="1"/>
        <v>Ami01</v>
      </c>
    </row>
    <row r="88" spans="1:3" x14ac:dyDescent="0.3">
      <c r="A88" t="s">
        <v>24</v>
      </c>
      <c r="B88" t="s">
        <v>25</v>
      </c>
      <c r="C88" t="str">
        <f t="shared" si="1"/>
        <v>Vik07</v>
      </c>
    </row>
    <row r="89" spans="1:3" x14ac:dyDescent="0.3">
      <c r="A89" t="s">
        <v>68</v>
      </c>
      <c r="B89" t="s">
        <v>69</v>
      </c>
      <c r="C89" t="str">
        <f t="shared" si="1"/>
        <v>Riy08</v>
      </c>
    </row>
    <row r="90" spans="1:3" x14ac:dyDescent="0.3">
      <c r="A90" t="s">
        <v>68</v>
      </c>
      <c r="B90" t="s">
        <v>69</v>
      </c>
      <c r="C90" t="str">
        <f t="shared" si="1"/>
        <v>Riy08</v>
      </c>
    </row>
    <row r="91" spans="1:3" x14ac:dyDescent="0.3">
      <c r="A91" t="s">
        <v>34</v>
      </c>
      <c r="B91" t="s">
        <v>35</v>
      </c>
      <c r="C91" t="str">
        <f t="shared" si="1"/>
        <v>Ami01</v>
      </c>
    </row>
    <row r="92" spans="1:3" x14ac:dyDescent="0.3">
      <c r="A92" t="s">
        <v>37</v>
      </c>
      <c r="B92" t="s">
        <v>38</v>
      </c>
      <c r="C92" t="str">
        <f t="shared" si="1"/>
        <v>Kar05</v>
      </c>
    </row>
    <row r="93" spans="1:3" x14ac:dyDescent="0.3">
      <c r="A93" t="s">
        <v>24</v>
      </c>
      <c r="B93" t="s">
        <v>25</v>
      </c>
      <c r="C93" t="str">
        <f t="shared" si="1"/>
        <v>Vik07</v>
      </c>
    </row>
    <row r="94" spans="1:3" x14ac:dyDescent="0.3">
      <c r="A94" t="s">
        <v>34</v>
      </c>
      <c r="B94" t="s">
        <v>35</v>
      </c>
      <c r="C94" t="str">
        <f t="shared" si="1"/>
        <v>Ami01</v>
      </c>
    </row>
    <row r="95" spans="1:3" x14ac:dyDescent="0.3">
      <c r="A95" t="s">
        <v>34</v>
      </c>
      <c r="B95" t="s">
        <v>35</v>
      </c>
      <c r="C95" t="str">
        <f t="shared" si="1"/>
        <v>Ami01</v>
      </c>
    </row>
    <row r="96" spans="1:3" x14ac:dyDescent="0.3">
      <c r="A96" t="s">
        <v>20</v>
      </c>
      <c r="B96" t="s">
        <v>21</v>
      </c>
      <c r="C96" t="str">
        <f t="shared" si="1"/>
        <v>Pri04</v>
      </c>
    </row>
    <row r="97" spans="1:3" x14ac:dyDescent="0.3">
      <c r="A97" t="s">
        <v>68</v>
      </c>
      <c r="B97" t="s">
        <v>69</v>
      </c>
      <c r="C97" t="str">
        <f t="shared" si="1"/>
        <v>Riy08</v>
      </c>
    </row>
    <row r="98" spans="1:3" x14ac:dyDescent="0.3">
      <c r="A98" t="s">
        <v>10</v>
      </c>
      <c r="B98" t="s">
        <v>11</v>
      </c>
      <c r="C98" t="str">
        <f t="shared" si="1"/>
        <v>Neh02</v>
      </c>
    </row>
    <row r="99" spans="1:3" x14ac:dyDescent="0.3">
      <c r="A99" t="s">
        <v>24</v>
      </c>
      <c r="B99" t="s">
        <v>25</v>
      </c>
      <c r="C99" t="str">
        <f t="shared" si="1"/>
        <v>Vik07</v>
      </c>
    </row>
    <row r="100" spans="1:3" x14ac:dyDescent="0.3">
      <c r="A100" t="s">
        <v>10</v>
      </c>
      <c r="B100" t="s">
        <v>11</v>
      </c>
      <c r="C100" t="str">
        <f t="shared" si="1"/>
        <v>Neh02</v>
      </c>
    </row>
    <row r="101" spans="1:3" x14ac:dyDescent="0.3">
      <c r="A101" t="s">
        <v>10</v>
      </c>
      <c r="B101" t="s">
        <v>11</v>
      </c>
      <c r="C101" t="str">
        <f t="shared" si="1"/>
        <v>Neh02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09BE-DCA6-4C9D-9BBF-D930D3A53E46}">
  <dimension ref="A1:K101"/>
  <sheetViews>
    <sheetView workbookViewId="0">
      <selection sqref="A1:A1048576"/>
    </sheetView>
  </sheetViews>
  <sheetFormatPr defaultRowHeight="14.4" x14ac:dyDescent="0.3"/>
  <cols>
    <col min="1" max="1" width="17.109375" bestFit="1" customWidth="1"/>
  </cols>
  <sheetData>
    <row r="1" spans="1:11" x14ac:dyDescent="0.3">
      <c r="A1" t="s">
        <v>3</v>
      </c>
    </row>
    <row r="2" spans="1:11" x14ac:dyDescent="0.3">
      <c r="A2" t="s">
        <v>11</v>
      </c>
    </row>
    <row r="3" spans="1:11" x14ac:dyDescent="0.3">
      <c r="A3" t="s">
        <v>11</v>
      </c>
    </row>
    <row r="4" spans="1:11" x14ac:dyDescent="0.3">
      <c r="A4" t="s">
        <v>21</v>
      </c>
    </row>
    <row r="5" spans="1:11" x14ac:dyDescent="0.3">
      <c r="A5" t="s">
        <v>25</v>
      </c>
      <c r="K5">
        <v>11</v>
      </c>
    </row>
    <row r="6" spans="1:11" x14ac:dyDescent="0.3">
      <c r="A6" t="s">
        <v>25</v>
      </c>
    </row>
    <row r="7" spans="1:11" x14ac:dyDescent="0.3">
      <c r="A7" t="s">
        <v>11</v>
      </c>
      <c r="K7" t="s">
        <v>230</v>
      </c>
    </row>
    <row r="8" spans="1:11" x14ac:dyDescent="0.3">
      <c r="A8" t="s">
        <v>35</v>
      </c>
    </row>
    <row r="9" spans="1:11" x14ac:dyDescent="0.3">
      <c r="A9" t="s">
        <v>38</v>
      </c>
    </row>
    <row r="10" spans="1:11" x14ac:dyDescent="0.3">
      <c r="A10" t="s">
        <v>35</v>
      </c>
    </row>
    <row r="11" spans="1:11" x14ac:dyDescent="0.3">
      <c r="A11" t="s">
        <v>11</v>
      </c>
    </row>
    <row r="12" spans="1:11" x14ac:dyDescent="0.3">
      <c r="A12" t="s">
        <v>45</v>
      </c>
    </row>
    <row r="13" spans="1:11" x14ac:dyDescent="0.3">
      <c r="A13" t="s">
        <v>21</v>
      </c>
    </row>
    <row r="14" spans="1:11" x14ac:dyDescent="0.3">
      <c r="A14" t="s">
        <v>21</v>
      </c>
    </row>
    <row r="15" spans="1:11" x14ac:dyDescent="0.3">
      <c r="A15" t="s">
        <v>45</v>
      </c>
    </row>
    <row r="16" spans="1:11" x14ac:dyDescent="0.3">
      <c r="A16" t="s">
        <v>21</v>
      </c>
    </row>
    <row r="17" spans="1:1" x14ac:dyDescent="0.3">
      <c r="A17" t="s">
        <v>53</v>
      </c>
    </row>
    <row r="18" spans="1:1" x14ac:dyDescent="0.3">
      <c r="A18" t="s">
        <v>45</v>
      </c>
    </row>
    <row r="19" spans="1:1" x14ac:dyDescent="0.3">
      <c r="A19" t="s">
        <v>11</v>
      </c>
    </row>
    <row r="20" spans="1:1" x14ac:dyDescent="0.3">
      <c r="A20" t="s">
        <v>25</v>
      </c>
    </row>
    <row r="21" spans="1:1" x14ac:dyDescent="0.3">
      <c r="A21" t="s">
        <v>11</v>
      </c>
    </row>
    <row r="22" spans="1:1" x14ac:dyDescent="0.3">
      <c r="A22" t="s">
        <v>25</v>
      </c>
    </row>
    <row r="23" spans="1:1" x14ac:dyDescent="0.3">
      <c r="A23" t="s">
        <v>11</v>
      </c>
    </row>
    <row r="24" spans="1:1" x14ac:dyDescent="0.3">
      <c r="A24" t="s">
        <v>53</v>
      </c>
    </row>
    <row r="25" spans="1:1" x14ac:dyDescent="0.3">
      <c r="A25" t="s">
        <v>11</v>
      </c>
    </row>
    <row r="26" spans="1:1" x14ac:dyDescent="0.3">
      <c r="A26" t="s">
        <v>11</v>
      </c>
    </row>
    <row r="27" spans="1:1" x14ac:dyDescent="0.3">
      <c r="A27" t="s">
        <v>53</v>
      </c>
    </row>
    <row r="28" spans="1:1" x14ac:dyDescent="0.3">
      <c r="A28" t="s">
        <v>25</v>
      </c>
    </row>
    <row r="29" spans="1:1" x14ac:dyDescent="0.3">
      <c r="A29" t="s">
        <v>69</v>
      </c>
    </row>
    <row r="30" spans="1:1" x14ac:dyDescent="0.3">
      <c r="A30" t="s">
        <v>45</v>
      </c>
    </row>
    <row r="31" spans="1:1" x14ac:dyDescent="0.3">
      <c r="A31" t="s">
        <v>35</v>
      </c>
    </row>
    <row r="32" spans="1:1" x14ac:dyDescent="0.3">
      <c r="A32" t="s">
        <v>21</v>
      </c>
    </row>
    <row r="33" spans="1:1" x14ac:dyDescent="0.3">
      <c r="A33" t="s">
        <v>69</v>
      </c>
    </row>
    <row r="34" spans="1:1" x14ac:dyDescent="0.3">
      <c r="A34" t="s">
        <v>11</v>
      </c>
    </row>
    <row r="35" spans="1:1" x14ac:dyDescent="0.3">
      <c r="A35" t="s">
        <v>35</v>
      </c>
    </row>
    <row r="36" spans="1:1" x14ac:dyDescent="0.3">
      <c r="A36" t="s">
        <v>11</v>
      </c>
    </row>
    <row r="37" spans="1:1" x14ac:dyDescent="0.3">
      <c r="A37" t="s">
        <v>53</v>
      </c>
    </row>
    <row r="38" spans="1:1" x14ac:dyDescent="0.3">
      <c r="A38" t="s">
        <v>11</v>
      </c>
    </row>
    <row r="39" spans="1:1" x14ac:dyDescent="0.3">
      <c r="A39" t="s">
        <v>25</v>
      </c>
    </row>
    <row r="40" spans="1:1" x14ac:dyDescent="0.3">
      <c r="A40" t="s">
        <v>25</v>
      </c>
    </row>
    <row r="41" spans="1:1" x14ac:dyDescent="0.3">
      <c r="A41" t="s">
        <v>69</v>
      </c>
    </row>
    <row r="42" spans="1:1" x14ac:dyDescent="0.3">
      <c r="A42" t="s">
        <v>35</v>
      </c>
    </row>
    <row r="43" spans="1:1" x14ac:dyDescent="0.3">
      <c r="A43" t="s">
        <v>53</v>
      </c>
    </row>
    <row r="44" spans="1:1" x14ac:dyDescent="0.3">
      <c r="A44" t="s">
        <v>11</v>
      </c>
    </row>
    <row r="45" spans="1:1" x14ac:dyDescent="0.3">
      <c r="A45" t="s">
        <v>35</v>
      </c>
    </row>
    <row r="46" spans="1:1" x14ac:dyDescent="0.3">
      <c r="A46" t="s">
        <v>45</v>
      </c>
    </row>
    <row r="47" spans="1:1" x14ac:dyDescent="0.3">
      <c r="A47" t="s">
        <v>69</v>
      </c>
    </row>
    <row r="48" spans="1:1" x14ac:dyDescent="0.3">
      <c r="A48" t="s">
        <v>11</v>
      </c>
    </row>
    <row r="49" spans="1:1" x14ac:dyDescent="0.3">
      <c r="A49" t="s">
        <v>11</v>
      </c>
    </row>
    <row r="50" spans="1:1" x14ac:dyDescent="0.3">
      <c r="A50" t="s">
        <v>38</v>
      </c>
    </row>
    <row r="51" spans="1:1" x14ac:dyDescent="0.3">
      <c r="A51" t="s">
        <v>53</v>
      </c>
    </row>
    <row r="52" spans="1:1" x14ac:dyDescent="0.3">
      <c r="A52" t="s">
        <v>53</v>
      </c>
    </row>
    <row r="53" spans="1:1" x14ac:dyDescent="0.3">
      <c r="A53" t="s">
        <v>21</v>
      </c>
    </row>
    <row r="54" spans="1:1" x14ac:dyDescent="0.3">
      <c r="A54" t="s">
        <v>11</v>
      </c>
    </row>
    <row r="55" spans="1:1" x14ac:dyDescent="0.3">
      <c r="A55" t="s">
        <v>45</v>
      </c>
    </row>
    <row r="56" spans="1:1" x14ac:dyDescent="0.3">
      <c r="A56" t="s">
        <v>35</v>
      </c>
    </row>
    <row r="57" spans="1:1" x14ac:dyDescent="0.3">
      <c r="A57" t="s">
        <v>45</v>
      </c>
    </row>
    <row r="58" spans="1:1" x14ac:dyDescent="0.3">
      <c r="A58" t="s">
        <v>45</v>
      </c>
    </row>
    <row r="59" spans="1:1" x14ac:dyDescent="0.3">
      <c r="A59" t="s">
        <v>45</v>
      </c>
    </row>
    <row r="60" spans="1:1" x14ac:dyDescent="0.3">
      <c r="A60" t="s">
        <v>53</v>
      </c>
    </row>
    <row r="61" spans="1:1" x14ac:dyDescent="0.3">
      <c r="A61" t="s">
        <v>38</v>
      </c>
    </row>
    <row r="62" spans="1:1" x14ac:dyDescent="0.3">
      <c r="A62" t="s">
        <v>21</v>
      </c>
    </row>
    <row r="63" spans="1:1" x14ac:dyDescent="0.3">
      <c r="A63" t="s">
        <v>21</v>
      </c>
    </row>
    <row r="64" spans="1:1" x14ac:dyDescent="0.3">
      <c r="A64" t="s">
        <v>25</v>
      </c>
    </row>
    <row r="65" spans="1:1" x14ac:dyDescent="0.3">
      <c r="A65" t="s">
        <v>53</v>
      </c>
    </row>
    <row r="66" spans="1:1" x14ac:dyDescent="0.3">
      <c r="A66" t="s">
        <v>45</v>
      </c>
    </row>
    <row r="67" spans="1:1" x14ac:dyDescent="0.3">
      <c r="A67" t="s">
        <v>21</v>
      </c>
    </row>
    <row r="68" spans="1:1" x14ac:dyDescent="0.3">
      <c r="A68" t="s">
        <v>21</v>
      </c>
    </row>
    <row r="69" spans="1:1" x14ac:dyDescent="0.3">
      <c r="A69" t="s">
        <v>11</v>
      </c>
    </row>
    <row r="70" spans="1:1" x14ac:dyDescent="0.3">
      <c r="A70" t="s">
        <v>45</v>
      </c>
    </row>
    <row r="71" spans="1:1" x14ac:dyDescent="0.3">
      <c r="A71" t="s">
        <v>25</v>
      </c>
    </row>
    <row r="72" spans="1:1" x14ac:dyDescent="0.3">
      <c r="A72" t="s">
        <v>35</v>
      </c>
    </row>
    <row r="73" spans="1:1" x14ac:dyDescent="0.3">
      <c r="A73" t="s">
        <v>45</v>
      </c>
    </row>
    <row r="74" spans="1:1" x14ac:dyDescent="0.3">
      <c r="A74" t="s">
        <v>53</v>
      </c>
    </row>
    <row r="75" spans="1:1" x14ac:dyDescent="0.3">
      <c r="A75" t="s">
        <v>38</v>
      </c>
    </row>
    <row r="76" spans="1:1" x14ac:dyDescent="0.3">
      <c r="A76" t="s">
        <v>69</v>
      </c>
    </row>
    <row r="77" spans="1:1" x14ac:dyDescent="0.3">
      <c r="A77" t="s">
        <v>21</v>
      </c>
    </row>
    <row r="78" spans="1:1" x14ac:dyDescent="0.3">
      <c r="A78" t="s">
        <v>35</v>
      </c>
    </row>
    <row r="79" spans="1:1" x14ac:dyDescent="0.3">
      <c r="A79" t="s">
        <v>69</v>
      </c>
    </row>
    <row r="80" spans="1:1" x14ac:dyDescent="0.3">
      <c r="A80" t="s">
        <v>69</v>
      </c>
    </row>
    <row r="81" spans="1:1" x14ac:dyDescent="0.3">
      <c r="A81" t="s">
        <v>25</v>
      </c>
    </row>
    <row r="82" spans="1:1" x14ac:dyDescent="0.3">
      <c r="A82" t="s">
        <v>69</v>
      </c>
    </row>
    <row r="83" spans="1:1" x14ac:dyDescent="0.3">
      <c r="A83" t="s">
        <v>21</v>
      </c>
    </row>
    <row r="84" spans="1:1" x14ac:dyDescent="0.3">
      <c r="A84" t="s">
        <v>45</v>
      </c>
    </row>
    <row r="85" spans="1:1" x14ac:dyDescent="0.3">
      <c r="A85" t="s">
        <v>53</v>
      </c>
    </row>
    <row r="86" spans="1:1" x14ac:dyDescent="0.3">
      <c r="A86" t="s">
        <v>69</v>
      </c>
    </row>
    <row r="87" spans="1:1" x14ac:dyDescent="0.3">
      <c r="A87" t="s">
        <v>35</v>
      </c>
    </row>
    <row r="88" spans="1:1" x14ac:dyDescent="0.3">
      <c r="A88" t="s">
        <v>25</v>
      </c>
    </row>
    <row r="89" spans="1:1" x14ac:dyDescent="0.3">
      <c r="A89" t="s">
        <v>69</v>
      </c>
    </row>
    <row r="90" spans="1:1" x14ac:dyDescent="0.3">
      <c r="A90" t="s">
        <v>69</v>
      </c>
    </row>
    <row r="91" spans="1:1" x14ac:dyDescent="0.3">
      <c r="A91" t="s">
        <v>35</v>
      </c>
    </row>
    <row r="92" spans="1:1" x14ac:dyDescent="0.3">
      <c r="A92" t="s">
        <v>38</v>
      </c>
    </row>
    <row r="93" spans="1:1" x14ac:dyDescent="0.3">
      <c r="A93" t="s">
        <v>25</v>
      </c>
    </row>
    <row r="94" spans="1:1" x14ac:dyDescent="0.3">
      <c r="A94" t="s">
        <v>35</v>
      </c>
    </row>
    <row r="95" spans="1:1" x14ac:dyDescent="0.3">
      <c r="A95" t="s">
        <v>35</v>
      </c>
    </row>
    <row r="96" spans="1:1" x14ac:dyDescent="0.3">
      <c r="A96" t="s">
        <v>21</v>
      </c>
    </row>
    <row r="97" spans="1:1" x14ac:dyDescent="0.3">
      <c r="A97" t="s">
        <v>69</v>
      </c>
    </row>
    <row r="98" spans="1:1" x14ac:dyDescent="0.3">
      <c r="A98" t="s">
        <v>11</v>
      </c>
    </row>
    <row r="99" spans="1:1" x14ac:dyDescent="0.3">
      <c r="A99" t="s">
        <v>25</v>
      </c>
    </row>
    <row r="100" spans="1:1" x14ac:dyDescent="0.3">
      <c r="A100" t="s">
        <v>11</v>
      </c>
    </row>
    <row r="101" spans="1:1" x14ac:dyDescent="0.3">
      <c r="A101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1931-B3CE-4B2F-9490-C5781B552E75}">
  <dimension ref="I6:I12"/>
  <sheetViews>
    <sheetView workbookViewId="0">
      <selection activeCell="I5" sqref="I5:I12"/>
    </sheetView>
  </sheetViews>
  <sheetFormatPr defaultRowHeight="14.4" x14ac:dyDescent="0.3"/>
  <sheetData>
    <row r="6" spans="9:9" x14ac:dyDescent="0.3">
      <c r="I6">
        <v>12</v>
      </c>
    </row>
    <row r="8" spans="9:9" x14ac:dyDescent="0.3">
      <c r="I8" t="s">
        <v>231</v>
      </c>
    </row>
    <row r="10" spans="9:9" x14ac:dyDescent="0.3">
      <c r="I10" t="s">
        <v>227</v>
      </c>
    </row>
    <row r="12" spans="9:9" x14ac:dyDescent="0.3">
      <c r="I12" t="s">
        <v>232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03F9-EEC1-46B1-9D50-CCCC4A9A6FEC}">
  <dimension ref="I5:I7"/>
  <sheetViews>
    <sheetView workbookViewId="0">
      <selection activeCell="I5" sqref="I5:I7"/>
    </sheetView>
  </sheetViews>
  <sheetFormatPr defaultRowHeight="14.4" x14ac:dyDescent="0.3"/>
  <sheetData>
    <row r="5" spans="9:9" x14ac:dyDescent="0.3">
      <c r="I5">
        <v>13</v>
      </c>
    </row>
    <row r="7" spans="9:9" x14ac:dyDescent="0.3">
      <c r="I7" t="s">
        <v>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DBB4-62AC-43B0-B804-94BF930113CC}">
  <dimension ref="A1:I101"/>
  <sheetViews>
    <sheetView workbookViewId="0">
      <selection activeCell="C2" sqref="C2"/>
    </sheetView>
  </sheetViews>
  <sheetFormatPr defaultRowHeight="14.4" x14ac:dyDescent="0.3"/>
  <cols>
    <col min="1" max="1" width="17.109375" bestFit="1" customWidth="1"/>
  </cols>
  <sheetData>
    <row r="1" spans="1:9" x14ac:dyDescent="0.3">
      <c r="A1" t="s">
        <v>3</v>
      </c>
    </row>
    <row r="2" spans="1:9" x14ac:dyDescent="0.3">
      <c r="A2" t="s">
        <v>11</v>
      </c>
      <c r="C2">
        <f>COUNTIF(A:A,A2)</f>
        <v>20</v>
      </c>
    </row>
    <row r="3" spans="1:9" x14ac:dyDescent="0.3">
      <c r="A3" t="s">
        <v>11</v>
      </c>
    </row>
    <row r="4" spans="1:9" x14ac:dyDescent="0.3">
      <c r="A4" t="s">
        <v>21</v>
      </c>
    </row>
    <row r="5" spans="1:9" x14ac:dyDescent="0.3">
      <c r="A5" t="s">
        <v>25</v>
      </c>
    </row>
    <row r="6" spans="1:9" x14ac:dyDescent="0.3">
      <c r="A6" t="s">
        <v>25</v>
      </c>
      <c r="I6">
        <v>14</v>
      </c>
    </row>
    <row r="7" spans="1:9" x14ac:dyDescent="0.3">
      <c r="A7" t="s">
        <v>11</v>
      </c>
    </row>
    <row r="8" spans="1:9" x14ac:dyDescent="0.3">
      <c r="A8" t="s">
        <v>35</v>
      </c>
      <c r="I8" t="s">
        <v>234</v>
      </c>
    </row>
    <row r="9" spans="1:9" x14ac:dyDescent="0.3">
      <c r="A9" t="s">
        <v>38</v>
      </c>
    </row>
    <row r="10" spans="1:9" x14ac:dyDescent="0.3">
      <c r="A10" t="s">
        <v>35</v>
      </c>
      <c r="I10" t="s">
        <v>235</v>
      </c>
    </row>
    <row r="11" spans="1:9" x14ac:dyDescent="0.3">
      <c r="A11" t="s">
        <v>11</v>
      </c>
    </row>
    <row r="12" spans="1:9" x14ac:dyDescent="0.3">
      <c r="A12" t="s">
        <v>45</v>
      </c>
    </row>
    <row r="13" spans="1:9" x14ac:dyDescent="0.3">
      <c r="A13" t="s">
        <v>21</v>
      </c>
    </row>
    <row r="14" spans="1:9" x14ac:dyDescent="0.3">
      <c r="A14" t="s">
        <v>21</v>
      </c>
    </row>
    <row r="15" spans="1:9" x14ac:dyDescent="0.3">
      <c r="A15" t="s">
        <v>45</v>
      </c>
    </row>
    <row r="16" spans="1:9" x14ac:dyDescent="0.3">
      <c r="A16" t="s">
        <v>21</v>
      </c>
    </row>
    <row r="17" spans="1:1" x14ac:dyDescent="0.3">
      <c r="A17" t="s">
        <v>53</v>
      </c>
    </row>
    <row r="18" spans="1:1" x14ac:dyDescent="0.3">
      <c r="A18" t="s">
        <v>45</v>
      </c>
    </row>
    <row r="19" spans="1:1" x14ac:dyDescent="0.3">
      <c r="A19" t="s">
        <v>11</v>
      </c>
    </row>
    <row r="20" spans="1:1" x14ac:dyDescent="0.3">
      <c r="A20" t="s">
        <v>25</v>
      </c>
    </row>
    <row r="21" spans="1:1" x14ac:dyDescent="0.3">
      <c r="A21" t="s">
        <v>11</v>
      </c>
    </row>
    <row r="22" spans="1:1" x14ac:dyDescent="0.3">
      <c r="A22" t="s">
        <v>25</v>
      </c>
    </row>
    <row r="23" spans="1:1" x14ac:dyDescent="0.3">
      <c r="A23" t="s">
        <v>11</v>
      </c>
    </row>
    <row r="24" spans="1:1" x14ac:dyDescent="0.3">
      <c r="A24" t="s">
        <v>53</v>
      </c>
    </row>
    <row r="25" spans="1:1" x14ac:dyDescent="0.3">
      <c r="A25" t="s">
        <v>11</v>
      </c>
    </row>
    <row r="26" spans="1:1" x14ac:dyDescent="0.3">
      <c r="A26" t="s">
        <v>11</v>
      </c>
    </row>
    <row r="27" spans="1:1" x14ac:dyDescent="0.3">
      <c r="A27" t="s">
        <v>53</v>
      </c>
    </row>
    <row r="28" spans="1:1" x14ac:dyDescent="0.3">
      <c r="A28" t="s">
        <v>25</v>
      </c>
    </row>
    <row r="29" spans="1:1" x14ac:dyDescent="0.3">
      <c r="A29" t="s">
        <v>69</v>
      </c>
    </row>
    <row r="30" spans="1:1" x14ac:dyDescent="0.3">
      <c r="A30" t="s">
        <v>45</v>
      </c>
    </row>
    <row r="31" spans="1:1" x14ac:dyDescent="0.3">
      <c r="A31" t="s">
        <v>35</v>
      </c>
    </row>
    <row r="32" spans="1:1" x14ac:dyDescent="0.3">
      <c r="A32" t="s">
        <v>21</v>
      </c>
    </row>
    <row r="33" spans="1:1" x14ac:dyDescent="0.3">
      <c r="A33" t="s">
        <v>69</v>
      </c>
    </row>
    <row r="34" spans="1:1" x14ac:dyDescent="0.3">
      <c r="A34" t="s">
        <v>11</v>
      </c>
    </row>
    <row r="35" spans="1:1" x14ac:dyDescent="0.3">
      <c r="A35" t="s">
        <v>35</v>
      </c>
    </row>
    <row r="36" spans="1:1" x14ac:dyDescent="0.3">
      <c r="A36" t="s">
        <v>11</v>
      </c>
    </row>
    <row r="37" spans="1:1" x14ac:dyDescent="0.3">
      <c r="A37" t="s">
        <v>53</v>
      </c>
    </row>
    <row r="38" spans="1:1" x14ac:dyDescent="0.3">
      <c r="A38" t="s">
        <v>11</v>
      </c>
    </row>
    <row r="39" spans="1:1" x14ac:dyDescent="0.3">
      <c r="A39" t="s">
        <v>25</v>
      </c>
    </row>
    <row r="40" spans="1:1" x14ac:dyDescent="0.3">
      <c r="A40" t="s">
        <v>25</v>
      </c>
    </row>
    <row r="41" spans="1:1" x14ac:dyDescent="0.3">
      <c r="A41" t="s">
        <v>69</v>
      </c>
    </row>
    <row r="42" spans="1:1" x14ac:dyDescent="0.3">
      <c r="A42" t="s">
        <v>35</v>
      </c>
    </row>
    <row r="43" spans="1:1" x14ac:dyDescent="0.3">
      <c r="A43" t="s">
        <v>53</v>
      </c>
    </row>
    <row r="44" spans="1:1" x14ac:dyDescent="0.3">
      <c r="A44" t="s">
        <v>11</v>
      </c>
    </row>
    <row r="45" spans="1:1" x14ac:dyDescent="0.3">
      <c r="A45" t="s">
        <v>35</v>
      </c>
    </row>
    <row r="46" spans="1:1" x14ac:dyDescent="0.3">
      <c r="A46" t="s">
        <v>45</v>
      </c>
    </row>
    <row r="47" spans="1:1" x14ac:dyDescent="0.3">
      <c r="A47" t="s">
        <v>69</v>
      </c>
    </row>
    <row r="48" spans="1:1" x14ac:dyDescent="0.3">
      <c r="A48" t="s">
        <v>11</v>
      </c>
    </row>
    <row r="49" spans="1:1" x14ac:dyDescent="0.3">
      <c r="A49" t="s">
        <v>11</v>
      </c>
    </row>
    <row r="50" spans="1:1" x14ac:dyDescent="0.3">
      <c r="A50" t="s">
        <v>38</v>
      </c>
    </row>
    <row r="51" spans="1:1" x14ac:dyDescent="0.3">
      <c r="A51" t="s">
        <v>53</v>
      </c>
    </row>
    <row r="52" spans="1:1" x14ac:dyDescent="0.3">
      <c r="A52" t="s">
        <v>53</v>
      </c>
    </row>
    <row r="53" spans="1:1" x14ac:dyDescent="0.3">
      <c r="A53" t="s">
        <v>21</v>
      </c>
    </row>
    <row r="54" spans="1:1" x14ac:dyDescent="0.3">
      <c r="A54" t="s">
        <v>11</v>
      </c>
    </row>
    <row r="55" spans="1:1" x14ac:dyDescent="0.3">
      <c r="A55" t="s">
        <v>45</v>
      </c>
    </row>
    <row r="56" spans="1:1" x14ac:dyDescent="0.3">
      <c r="A56" t="s">
        <v>35</v>
      </c>
    </row>
    <row r="57" spans="1:1" x14ac:dyDescent="0.3">
      <c r="A57" t="s">
        <v>45</v>
      </c>
    </row>
    <row r="58" spans="1:1" x14ac:dyDescent="0.3">
      <c r="A58" t="s">
        <v>45</v>
      </c>
    </row>
    <row r="59" spans="1:1" x14ac:dyDescent="0.3">
      <c r="A59" t="s">
        <v>45</v>
      </c>
    </row>
    <row r="60" spans="1:1" x14ac:dyDescent="0.3">
      <c r="A60" t="s">
        <v>53</v>
      </c>
    </row>
    <row r="61" spans="1:1" x14ac:dyDescent="0.3">
      <c r="A61" t="s">
        <v>38</v>
      </c>
    </row>
    <row r="62" spans="1:1" x14ac:dyDescent="0.3">
      <c r="A62" t="s">
        <v>21</v>
      </c>
    </row>
    <row r="63" spans="1:1" x14ac:dyDescent="0.3">
      <c r="A63" t="s">
        <v>21</v>
      </c>
    </row>
    <row r="64" spans="1:1" x14ac:dyDescent="0.3">
      <c r="A64" t="s">
        <v>25</v>
      </c>
    </row>
    <row r="65" spans="1:1" x14ac:dyDescent="0.3">
      <c r="A65" t="s">
        <v>53</v>
      </c>
    </row>
    <row r="66" spans="1:1" x14ac:dyDescent="0.3">
      <c r="A66" t="s">
        <v>45</v>
      </c>
    </row>
    <row r="67" spans="1:1" x14ac:dyDescent="0.3">
      <c r="A67" t="s">
        <v>21</v>
      </c>
    </row>
    <row r="68" spans="1:1" x14ac:dyDescent="0.3">
      <c r="A68" t="s">
        <v>21</v>
      </c>
    </row>
    <row r="69" spans="1:1" x14ac:dyDescent="0.3">
      <c r="A69" t="s">
        <v>11</v>
      </c>
    </row>
    <row r="70" spans="1:1" x14ac:dyDescent="0.3">
      <c r="A70" t="s">
        <v>45</v>
      </c>
    </row>
    <row r="71" spans="1:1" x14ac:dyDescent="0.3">
      <c r="A71" t="s">
        <v>25</v>
      </c>
    </row>
    <row r="72" spans="1:1" x14ac:dyDescent="0.3">
      <c r="A72" t="s">
        <v>35</v>
      </c>
    </row>
    <row r="73" spans="1:1" x14ac:dyDescent="0.3">
      <c r="A73" t="s">
        <v>45</v>
      </c>
    </row>
    <row r="74" spans="1:1" x14ac:dyDescent="0.3">
      <c r="A74" t="s">
        <v>53</v>
      </c>
    </row>
    <row r="75" spans="1:1" x14ac:dyDescent="0.3">
      <c r="A75" t="s">
        <v>38</v>
      </c>
    </row>
    <row r="76" spans="1:1" x14ac:dyDescent="0.3">
      <c r="A76" t="s">
        <v>69</v>
      </c>
    </row>
    <row r="77" spans="1:1" x14ac:dyDescent="0.3">
      <c r="A77" t="s">
        <v>21</v>
      </c>
    </row>
    <row r="78" spans="1:1" x14ac:dyDescent="0.3">
      <c r="A78" t="s">
        <v>35</v>
      </c>
    </row>
    <row r="79" spans="1:1" x14ac:dyDescent="0.3">
      <c r="A79" t="s">
        <v>69</v>
      </c>
    </row>
    <row r="80" spans="1:1" x14ac:dyDescent="0.3">
      <c r="A80" t="s">
        <v>69</v>
      </c>
    </row>
    <row r="81" spans="1:1" x14ac:dyDescent="0.3">
      <c r="A81" t="s">
        <v>25</v>
      </c>
    </row>
    <row r="82" spans="1:1" x14ac:dyDescent="0.3">
      <c r="A82" t="s">
        <v>69</v>
      </c>
    </row>
    <row r="83" spans="1:1" x14ac:dyDescent="0.3">
      <c r="A83" t="s">
        <v>21</v>
      </c>
    </row>
    <row r="84" spans="1:1" x14ac:dyDescent="0.3">
      <c r="A84" t="s">
        <v>45</v>
      </c>
    </row>
    <row r="85" spans="1:1" x14ac:dyDescent="0.3">
      <c r="A85" t="s">
        <v>53</v>
      </c>
    </row>
    <row r="86" spans="1:1" x14ac:dyDescent="0.3">
      <c r="A86" t="s">
        <v>69</v>
      </c>
    </row>
    <row r="87" spans="1:1" x14ac:dyDescent="0.3">
      <c r="A87" t="s">
        <v>35</v>
      </c>
    </row>
    <row r="88" spans="1:1" x14ac:dyDescent="0.3">
      <c r="A88" t="s">
        <v>25</v>
      </c>
    </row>
    <row r="89" spans="1:1" x14ac:dyDescent="0.3">
      <c r="A89" t="s">
        <v>69</v>
      </c>
    </row>
    <row r="90" spans="1:1" x14ac:dyDescent="0.3">
      <c r="A90" t="s">
        <v>69</v>
      </c>
    </row>
    <row r="91" spans="1:1" x14ac:dyDescent="0.3">
      <c r="A91" t="s">
        <v>35</v>
      </c>
    </row>
    <row r="92" spans="1:1" x14ac:dyDescent="0.3">
      <c r="A92" t="s">
        <v>38</v>
      </c>
    </row>
    <row r="93" spans="1:1" x14ac:dyDescent="0.3">
      <c r="A93" t="s">
        <v>25</v>
      </c>
    </row>
    <row r="94" spans="1:1" x14ac:dyDescent="0.3">
      <c r="A94" t="s">
        <v>35</v>
      </c>
    </row>
    <row r="95" spans="1:1" x14ac:dyDescent="0.3">
      <c r="A95" t="s">
        <v>35</v>
      </c>
    </row>
    <row r="96" spans="1:1" x14ac:dyDescent="0.3">
      <c r="A96" t="s">
        <v>21</v>
      </c>
    </row>
    <row r="97" spans="1:1" x14ac:dyDescent="0.3">
      <c r="A97" t="s">
        <v>69</v>
      </c>
    </row>
    <row r="98" spans="1:1" x14ac:dyDescent="0.3">
      <c r="A98" t="s">
        <v>11</v>
      </c>
    </row>
    <row r="99" spans="1:1" x14ac:dyDescent="0.3">
      <c r="A99" t="s">
        <v>25</v>
      </c>
    </row>
    <row r="100" spans="1:1" x14ac:dyDescent="0.3">
      <c r="A100" t="s">
        <v>11</v>
      </c>
    </row>
    <row r="101" spans="1:1" x14ac:dyDescent="0.3">
      <c r="A101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9CF4-3AEA-4A50-AA92-B841B7116173}">
  <dimension ref="J6:J8"/>
  <sheetViews>
    <sheetView workbookViewId="0">
      <selection activeCell="K6" sqref="K6"/>
    </sheetView>
  </sheetViews>
  <sheetFormatPr defaultRowHeight="14.4" x14ac:dyDescent="0.3"/>
  <sheetData>
    <row r="6" spans="10:10" x14ac:dyDescent="0.3">
      <c r="J6">
        <v>15</v>
      </c>
    </row>
    <row r="8" spans="10:10" x14ac:dyDescent="0.3">
      <c r="J8" t="s">
        <v>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07BE-C039-4DB3-9841-6048A94C105B}">
  <dimension ref="A1:J101"/>
  <sheetViews>
    <sheetView workbookViewId="0">
      <selection activeCell="D3" sqref="D3"/>
    </sheetView>
  </sheetViews>
  <sheetFormatPr defaultRowHeight="14.4" x14ac:dyDescent="0.3"/>
  <cols>
    <col min="1" max="1" width="12.77734375" bestFit="1" customWidth="1"/>
    <col min="2" max="2" width="7.33203125" bestFit="1" customWidth="1"/>
  </cols>
  <sheetData>
    <row r="1" spans="1:10" x14ac:dyDescent="0.3">
      <c r="A1" t="s">
        <v>1</v>
      </c>
      <c r="B1" t="s">
        <v>7</v>
      </c>
    </row>
    <row r="2" spans="1:10" x14ac:dyDescent="0.3">
      <c r="A2" s="1">
        <v>45417</v>
      </c>
      <c r="B2">
        <v>5072</v>
      </c>
      <c r="C2" t="str">
        <f>TEXT(A2,"mmmm")</f>
        <v>May</v>
      </c>
      <c r="J2">
        <v>16</v>
      </c>
    </row>
    <row r="3" spans="1:10" x14ac:dyDescent="0.3">
      <c r="A3" s="1">
        <v>45308</v>
      </c>
      <c r="B3">
        <v>3570</v>
      </c>
      <c r="C3" t="str">
        <f t="shared" ref="C3:C66" si="0">TEXT(A3,"mmmm")</f>
        <v>January</v>
      </c>
    </row>
    <row r="4" spans="1:10" x14ac:dyDescent="0.3">
      <c r="A4" s="1">
        <v>45579</v>
      </c>
      <c r="B4">
        <v>23962</v>
      </c>
      <c r="C4" t="str">
        <f t="shared" si="0"/>
        <v>October</v>
      </c>
      <c r="J4" t="s">
        <v>237</v>
      </c>
    </row>
    <row r="5" spans="1:10" x14ac:dyDescent="0.3">
      <c r="A5" s="1">
        <v>45593</v>
      </c>
      <c r="B5">
        <v>712</v>
      </c>
      <c r="C5" t="str">
        <f t="shared" si="0"/>
        <v>October</v>
      </c>
    </row>
    <row r="6" spans="1:10" x14ac:dyDescent="0.3">
      <c r="A6" s="1">
        <v>45371</v>
      </c>
      <c r="B6">
        <v>11529</v>
      </c>
      <c r="C6" t="str">
        <f t="shared" si="0"/>
        <v>March</v>
      </c>
    </row>
    <row r="7" spans="1:10" x14ac:dyDescent="0.3">
      <c r="A7" s="1">
        <v>45475</v>
      </c>
      <c r="B7">
        <v>20282</v>
      </c>
      <c r="C7" t="str">
        <f t="shared" si="0"/>
        <v>July</v>
      </c>
    </row>
    <row r="8" spans="1:10" x14ac:dyDescent="0.3">
      <c r="A8" s="1">
        <v>45566</v>
      </c>
      <c r="B8">
        <v>12903</v>
      </c>
      <c r="C8" t="str">
        <f t="shared" si="0"/>
        <v>October</v>
      </c>
    </row>
    <row r="9" spans="1:10" x14ac:dyDescent="0.3">
      <c r="A9" s="1">
        <v>45587</v>
      </c>
      <c r="B9">
        <v>23587</v>
      </c>
      <c r="C9" t="str">
        <f t="shared" si="0"/>
        <v>October</v>
      </c>
    </row>
    <row r="10" spans="1:10" x14ac:dyDescent="0.3">
      <c r="A10" s="1">
        <v>45687</v>
      </c>
      <c r="B10">
        <v>3114</v>
      </c>
      <c r="C10" t="str">
        <f t="shared" si="0"/>
        <v>January</v>
      </c>
    </row>
    <row r="11" spans="1:10" x14ac:dyDescent="0.3">
      <c r="A11" s="1">
        <v>45524</v>
      </c>
      <c r="B11">
        <v>5829</v>
      </c>
      <c r="C11" t="str">
        <f t="shared" si="0"/>
        <v>August</v>
      </c>
    </row>
    <row r="12" spans="1:10" x14ac:dyDescent="0.3">
      <c r="A12" s="1">
        <v>45651</v>
      </c>
      <c r="B12">
        <v>20460</v>
      </c>
      <c r="C12" t="str">
        <f t="shared" si="0"/>
        <v>December</v>
      </c>
    </row>
    <row r="13" spans="1:10" x14ac:dyDescent="0.3">
      <c r="A13" s="1">
        <v>45486</v>
      </c>
      <c r="B13">
        <v>21471</v>
      </c>
      <c r="C13" t="str">
        <f t="shared" si="0"/>
        <v>July</v>
      </c>
    </row>
    <row r="14" spans="1:10" x14ac:dyDescent="0.3">
      <c r="A14" s="1">
        <v>45723</v>
      </c>
      <c r="B14">
        <v>8005</v>
      </c>
      <c r="C14" t="str">
        <f t="shared" si="0"/>
        <v>March</v>
      </c>
    </row>
    <row r="15" spans="1:10" x14ac:dyDescent="0.3">
      <c r="A15" s="1">
        <v>45325</v>
      </c>
      <c r="B15">
        <v>19085</v>
      </c>
      <c r="C15" t="str">
        <f t="shared" si="0"/>
        <v>February</v>
      </c>
    </row>
    <row r="16" spans="1:10" x14ac:dyDescent="0.3">
      <c r="A16" s="1">
        <v>45494</v>
      </c>
      <c r="B16">
        <v>5181</v>
      </c>
      <c r="C16" t="str">
        <f t="shared" si="0"/>
        <v>July</v>
      </c>
    </row>
    <row r="17" spans="1:3" x14ac:dyDescent="0.3">
      <c r="A17" s="1">
        <v>45674</v>
      </c>
      <c r="B17">
        <v>19621</v>
      </c>
      <c r="C17" t="str">
        <f t="shared" si="0"/>
        <v>January</v>
      </c>
    </row>
    <row r="18" spans="1:3" x14ac:dyDescent="0.3">
      <c r="A18" s="1">
        <v>45552</v>
      </c>
      <c r="B18">
        <v>3478</v>
      </c>
      <c r="C18" t="str">
        <f t="shared" si="0"/>
        <v>September</v>
      </c>
    </row>
    <row r="19" spans="1:3" x14ac:dyDescent="0.3">
      <c r="A19" s="1">
        <v>45697</v>
      </c>
      <c r="B19">
        <v>20043</v>
      </c>
      <c r="C19" t="str">
        <f t="shared" si="0"/>
        <v>February</v>
      </c>
    </row>
    <row r="20" spans="1:3" x14ac:dyDescent="0.3">
      <c r="A20" s="1">
        <v>45562</v>
      </c>
      <c r="B20">
        <v>18628</v>
      </c>
      <c r="C20" t="str">
        <f t="shared" si="0"/>
        <v>September</v>
      </c>
    </row>
    <row r="21" spans="1:3" x14ac:dyDescent="0.3">
      <c r="A21" s="1">
        <v>45685</v>
      </c>
      <c r="B21">
        <v>4155</v>
      </c>
      <c r="C21" t="str">
        <f t="shared" si="0"/>
        <v>January</v>
      </c>
    </row>
    <row r="22" spans="1:3" x14ac:dyDescent="0.3">
      <c r="A22" s="1">
        <v>45293</v>
      </c>
      <c r="B22">
        <v>16903</v>
      </c>
      <c r="C22" t="str">
        <f t="shared" si="0"/>
        <v>January</v>
      </c>
    </row>
    <row r="23" spans="1:3" x14ac:dyDescent="0.3">
      <c r="A23" s="1">
        <v>45722</v>
      </c>
      <c r="B23">
        <v>5508</v>
      </c>
      <c r="C23" t="str">
        <f t="shared" si="0"/>
        <v>March</v>
      </c>
    </row>
    <row r="24" spans="1:3" x14ac:dyDescent="0.3">
      <c r="A24" s="1">
        <v>45598</v>
      </c>
      <c r="B24">
        <v>16510</v>
      </c>
      <c r="C24" t="str">
        <f t="shared" si="0"/>
        <v>November</v>
      </c>
    </row>
    <row r="25" spans="1:3" x14ac:dyDescent="0.3">
      <c r="A25" s="1">
        <v>45414</v>
      </c>
      <c r="B25">
        <v>8392</v>
      </c>
      <c r="C25" t="str">
        <f t="shared" si="0"/>
        <v>May</v>
      </c>
    </row>
    <row r="26" spans="1:3" x14ac:dyDescent="0.3">
      <c r="A26" s="1">
        <v>45709</v>
      </c>
      <c r="B26">
        <v>17955</v>
      </c>
      <c r="C26" t="str">
        <f t="shared" si="0"/>
        <v>February</v>
      </c>
    </row>
    <row r="27" spans="1:3" x14ac:dyDescent="0.3">
      <c r="A27" s="1">
        <v>45776</v>
      </c>
      <c r="B27">
        <v>9185</v>
      </c>
      <c r="C27" t="str">
        <f t="shared" si="0"/>
        <v>April</v>
      </c>
    </row>
    <row r="28" spans="1:3" x14ac:dyDescent="0.3">
      <c r="A28" s="1">
        <v>45657</v>
      </c>
      <c r="B28">
        <v>13574</v>
      </c>
      <c r="C28" t="str">
        <f t="shared" si="0"/>
        <v>December</v>
      </c>
    </row>
    <row r="29" spans="1:3" x14ac:dyDescent="0.3">
      <c r="A29" s="1">
        <v>45353</v>
      </c>
      <c r="B29">
        <v>7862</v>
      </c>
      <c r="C29" t="str">
        <f t="shared" si="0"/>
        <v>March</v>
      </c>
    </row>
    <row r="30" spans="1:3" x14ac:dyDescent="0.3">
      <c r="A30" s="1">
        <v>45593</v>
      </c>
      <c r="B30">
        <v>735</v>
      </c>
      <c r="C30" t="str">
        <f t="shared" si="0"/>
        <v>October</v>
      </c>
    </row>
    <row r="31" spans="1:3" x14ac:dyDescent="0.3">
      <c r="A31" s="1">
        <v>45755</v>
      </c>
      <c r="B31">
        <v>11327</v>
      </c>
      <c r="C31" t="str">
        <f t="shared" si="0"/>
        <v>April</v>
      </c>
    </row>
    <row r="32" spans="1:3" x14ac:dyDescent="0.3">
      <c r="A32" s="1">
        <v>45401</v>
      </c>
      <c r="B32">
        <v>24202</v>
      </c>
      <c r="C32" t="str">
        <f t="shared" si="0"/>
        <v>April</v>
      </c>
    </row>
    <row r="33" spans="1:3" x14ac:dyDescent="0.3">
      <c r="A33" s="1">
        <v>45705</v>
      </c>
      <c r="B33">
        <v>6739</v>
      </c>
      <c r="C33" t="str">
        <f t="shared" si="0"/>
        <v>February</v>
      </c>
    </row>
    <row r="34" spans="1:3" x14ac:dyDescent="0.3">
      <c r="A34" s="1">
        <v>45473</v>
      </c>
      <c r="B34">
        <v>13970</v>
      </c>
      <c r="C34" t="str">
        <f t="shared" si="0"/>
        <v>June</v>
      </c>
    </row>
    <row r="35" spans="1:3" x14ac:dyDescent="0.3">
      <c r="A35" s="1">
        <v>45323</v>
      </c>
      <c r="B35">
        <v>24362</v>
      </c>
      <c r="C35" t="str">
        <f t="shared" si="0"/>
        <v>February</v>
      </c>
    </row>
    <row r="36" spans="1:3" x14ac:dyDescent="0.3">
      <c r="A36" s="1">
        <v>45389</v>
      </c>
      <c r="B36">
        <v>5093</v>
      </c>
      <c r="C36" t="str">
        <f t="shared" si="0"/>
        <v>April</v>
      </c>
    </row>
    <row r="37" spans="1:3" x14ac:dyDescent="0.3">
      <c r="A37" s="1">
        <v>45419</v>
      </c>
      <c r="B37">
        <v>15020</v>
      </c>
      <c r="C37" t="str">
        <f t="shared" si="0"/>
        <v>May</v>
      </c>
    </row>
    <row r="38" spans="1:3" x14ac:dyDescent="0.3">
      <c r="A38" s="1">
        <v>45788</v>
      </c>
      <c r="B38">
        <v>8245</v>
      </c>
      <c r="C38" t="str">
        <f t="shared" si="0"/>
        <v>May</v>
      </c>
    </row>
    <row r="39" spans="1:3" x14ac:dyDescent="0.3">
      <c r="A39" s="1">
        <v>45401</v>
      </c>
      <c r="B39">
        <v>2421</v>
      </c>
      <c r="C39" t="str">
        <f t="shared" si="0"/>
        <v>April</v>
      </c>
    </row>
    <row r="40" spans="1:3" x14ac:dyDescent="0.3">
      <c r="A40" s="1">
        <v>45427</v>
      </c>
      <c r="B40">
        <v>9847</v>
      </c>
      <c r="C40" t="str">
        <f t="shared" si="0"/>
        <v>May</v>
      </c>
    </row>
    <row r="41" spans="1:3" x14ac:dyDescent="0.3">
      <c r="A41" s="1">
        <v>45443</v>
      </c>
      <c r="B41">
        <v>2416</v>
      </c>
      <c r="C41" t="str">
        <f t="shared" si="0"/>
        <v>May</v>
      </c>
    </row>
    <row r="42" spans="1:3" x14ac:dyDescent="0.3">
      <c r="A42" s="1">
        <v>45321</v>
      </c>
      <c r="B42">
        <v>19642</v>
      </c>
      <c r="C42" t="str">
        <f t="shared" si="0"/>
        <v>January</v>
      </c>
    </row>
    <row r="43" spans="1:3" x14ac:dyDescent="0.3">
      <c r="A43" s="1">
        <v>45727</v>
      </c>
      <c r="B43">
        <v>2745</v>
      </c>
      <c r="C43" t="str">
        <f t="shared" si="0"/>
        <v>March</v>
      </c>
    </row>
    <row r="44" spans="1:3" x14ac:dyDescent="0.3">
      <c r="A44" s="1">
        <v>45498</v>
      </c>
      <c r="B44">
        <v>19167</v>
      </c>
      <c r="C44" t="str">
        <f t="shared" si="0"/>
        <v>July</v>
      </c>
    </row>
    <row r="45" spans="1:3" x14ac:dyDescent="0.3">
      <c r="A45" s="1">
        <v>45506</v>
      </c>
      <c r="B45">
        <v>9044</v>
      </c>
      <c r="C45" t="str">
        <f t="shared" si="0"/>
        <v>August</v>
      </c>
    </row>
    <row r="46" spans="1:3" x14ac:dyDescent="0.3">
      <c r="A46" s="1">
        <v>45494</v>
      </c>
      <c r="B46">
        <v>22509</v>
      </c>
      <c r="C46" t="str">
        <f t="shared" si="0"/>
        <v>July</v>
      </c>
    </row>
    <row r="47" spans="1:3" x14ac:dyDescent="0.3">
      <c r="A47" s="1">
        <v>45296</v>
      </c>
      <c r="B47">
        <v>20854</v>
      </c>
      <c r="C47" t="str">
        <f t="shared" si="0"/>
        <v>January</v>
      </c>
    </row>
    <row r="48" spans="1:3" x14ac:dyDescent="0.3">
      <c r="A48" s="1">
        <v>45551</v>
      </c>
      <c r="B48">
        <v>4840</v>
      </c>
      <c r="C48" t="str">
        <f t="shared" si="0"/>
        <v>September</v>
      </c>
    </row>
    <row r="49" spans="1:3" x14ac:dyDescent="0.3">
      <c r="A49" s="1">
        <v>45437</v>
      </c>
      <c r="B49">
        <v>14858</v>
      </c>
      <c r="C49" t="str">
        <f t="shared" si="0"/>
        <v>May</v>
      </c>
    </row>
    <row r="50" spans="1:3" x14ac:dyDescent="0.3">
      <c r="A50" s="1">
        <v>45633</v>
      </c>
      <c r="B50">
        <v>22237</v>
      </c>
      <c r="C50" t="str">
        <f t="shared" si="0"/>
        <v>December</v>
      </c>
    </row>
    <row r="51" spans="1:3" x14ac:dyDescent="0.3">
      <c r="A51" s="1">
        <v>45747</v>
      </c>
      <c r="B51">
        <v>24827</v>
      </c>
      <c r="C51" t="str">
        <f t="shared" si="0"/>
        <v>March</v>
      </c>
    </row>
    <row r="52" spans="1:3" x14ac:dyDescent="0.3">
      <c r="A52" s="1">
        <v>45601</v>
      </c>
      <c r="B52">
        <v>24014</v>
      </c>
      <c r="C52" t="str">
        <f t="shared" si="0"/>
        <v>November</v>
      </c>
    </row>
    <row r="53" spans="1:3" x14ac:dyDescent="0.3">
      <c r="A53" s="1">
        <v>45550</v>
      </c>
      <c r="B53">
        <v>8728</v>
      </c>
      <c r="C53" t="str">
        <f t="shared" si="0"/>
        <v>September</v>
      </c>
    </row>
    <row r="54" spans="1:3" x14ac:dyDescent="0.3">
      <c r="A54" s="1">
        <v>45716</v>
      </c>
      <c r="B54">
        <v>1944</v>
      </c>
      <c r="C54" t="str">
        <f t="shared" si="0"/>
        <v>February</v>
      </c>
    </row>
    <row r="55" spans="1:3" x14ac:dyDescent="0.3">
      <c r="A55" s="1">
        <v>45374</v>
      </c>
      <c r="B55">
        <v>18577</v>
      </c>
      <c r="C55" t="str">
        <f t="shared" si="0"/>
        <v>March</v>
      </c>
    </row>
    <row r="56" spans="1:3" x14ac:dyDescent="0.3">
      <c r="A56" s="1">
        <v>45775</v>
      </c>
      <c r="B56">
        <v>18377</v>
      </c>
      <c r="C56" t="str">
        <f t="shared" si="0"/>
        <v>April</v>
      </c>
    </row>
    <row r="57" spans="1:3" x14ac:dyDescent="0.3">
      <c r="A57" s="1">
        <v>45512</v>
      </c>
      <c r="B57">
        <v>1870</v>
      </c>
      <c r="C57" t="str">
        <f t="shared" si="0"/>
        <v>August</v>
      </c>
    </row>
    <row r="58" spans="1:3" x14ac:dyDescent="0.3">
      <c r="A58" s="1">
        <v>45399</v>
      </c>
      <c r="B58">
        <v>22354</v>
      </c>
      <c r="C58" t="str">
        <f t="shared" si="0"/>
        <v>April</v>
      </c>
    </row>
    <row r="59" spans="1:3" x14ac:dyDescent="0.3">
      <c r="A59" s="1">
        <v>45790</v>
      </c>
      <c r="B59">
        <v>8257</v>
      </c>
      <c r="C59" t="str">
        <f t="shared" si="0"/>
        <v>May</v>
      </c>
    </row>
    <row r="60" spans="1:3" x14ac:dyDescent="0.3">
      <c r="A60" s="1">
        <v>45383</v>
      </c>
      <c r="B60">
        <v>13991</v>
      </c>
      <c r="C60" t="str">
        <f t="shared" si="0"/>
        <v>April</v>
      </c>
    </row>
    <row r="61" spans="1:3" x14ac:dyDescent="0.3">
      <c r="A61" s="1">
        <v>45487</v>
      </c>
      <c r="B61">
        <v>15923</v>
      </c>
      <c r="C61" t="str">
        <f t="shared" si="0"/>
        <v>July</v>
      </c>
    </row>
    <row r="62" spans="1:3" x14ac:dyDescent="0.3">
      <c r="A62" s="1">
        <v>45448</v>
      </c>
      <c r="B62">
        <v>7804</v>
      </c>
      <c r="C62" t="str">
        <f t="shared" si="0"/>
        <v>June</v>
      </c>
    </row>
    <row r="63" spans="1:3" x14ac:dyDescent="0.3">
      <c r="A63" s="1">
        <v>45434</v>
      </c>
      <c r="B63">
        <v>9646</v>
      </c>
      <c r="C63" t="str">
        <f t="shared" si="0"/>
        <v>May</v>
      </c>
    </row>
    <row r="64" spans="1:3" x14ac:dyDescent="0.3">
      <c r="A64" s="1">
        <v>45772</v>
      </c>
      <c r="B64">
        <v>4279</v>
      </c>
      <c r="C64" t="str">
        <f t="shared" si="0"/>
        <v>April</v>
      </c>
    </row>
    <row r="65" spans="1:3" x14ac:dyDescent="0.3">
      <c r="A65" s="1">
        <v>45311</v>
      </c>
      <c r="B65">
        <v>20048</v>
      </c>
      <c r="C65" t="str">
        <f t="shared" si="0"/>
        <v>January</v>
      </c>
    </row>
    <row r="66" spans="1:3" x14ac:dyDescent="0.3">
      <c r="A66" s="1">
        <v>45515</v>
      </c>
      <c r="B66">
        <v>13122</v>
      </c>
      <c r="C66" t="str">
        <f t="shared" si="0"/>
        <v>August</v>
      </c>
    </row>
    <row r="67" spans="1:3" x14ac:dyDescent="0.3">
      <c r="A67" s="1">
        <v>45654</v>
      </c>
      <c r="B67">
        <v>555</v>
      </c>
      <c r="C67" t="str">
        <f t="shared" ref="C67:C101" si="1">TEXT(A67,"mmmm")</f>
        <v>December</v>
      </c>
    </row>
    <row r="68" spans="1:3" x14ac:dyDescent="0.3">
      <c r="A68" s="1">
        <v>45327</v>
      </c>
      <c r="B68">
        <v>20919</v>
      </c>
      <c r="C68" t="str">
        <f t="shared" si="1"/>
        <v>February</v>
      </c>
    </row>
    <row r="69" spans="1:3" x14ac:dyDescent="0.3">
      <c r="A69" s="1">
        <v>45551</v>
      </c>
      <c r="B69">
        <v>22352</v>
      </c>
      <c r="C69" t="str">
        <f t="shared" si="1"/>
        <v>September</v>
      </c>
    </row>
    <row r="70" spans="1:3" x14ac:dyDescent="0.3">
      <c r="A70" s="1">
        <v>45575</v>
      </c>
      <c r="B70">
        <v>6786</v>
      </c>
      <c r="C70" t="str">
        <f t="shared" si="1"/>
        <v>October</v>
      </c>
    </row>
    <row r="71" spans="1:3" x14ac:dyDescent="0.3">
      <c r="A71" s="1">
        <v>45607</v>
      </c>
      <c r="B71">
        <v>13806</v>
      </c>
      <c r="C71" t="str">
        <f t="shared" si="1"/>
        <v>November</v>
      </c>
    </row>
    <row r="72" spans="1:3" x14ac:dyDescent="0.3">
      <c r="A72" s="1">
        <v>45399</v>
      </c>
      <c r="B72">
        <v>19504</v>
      </c>
      <c r="C72" t="str">
        <f t="shared" si="1"/>
        <v>April</v>
      </c>
    </row>
    <row r="73" spans="1:3" x14ac:dyDescent="0.3">
      <c r="A73" s="1">
        <v>45518</v>
      </c>
      <c r="B73">
        <v>17250</v>
      </c>
      <c r="C73" t="str">
        <f t="shared" si="1"/>
        <v>August</v>
      </c>
    </row>
    <row r="74" spans="1:3" x14ac:dyDescent="0.3">
      <c r="A74" s="1">
        <v>45437</v>
      </c>
      <c r="B74">
        <v>3560</v>
      </c>
      <c r="C74" t="str">
        <f t="shared" si="1"/>
        <v>May</v>
      </c>
    </row>
    <row r="75" spans="1:3" x14ac:dyDescent="0.3">
      <c r="A75" s="1">
        <v>45367</v>
      </c>
      <c r="B75">
        <v>2014</v>
      </c>
      <c r="C75" t="str">
        <f t="shared" si="1"/>
        <v>March</v>
      </c>
    </row>
    <row r="76" spans="1:3" x14ac:dyDescent="0.3">
      <c r="A76" s="1">
        <v>45525</v>
      </c>
      <c r="B76">
        <v>21136</v>
      </c>
      <c r="C76" t="str">
        <f t="shared" si="1"/>
        <v>August</v>
      </c>
    </row>
    <row r="77" spans="1:3" x14ac:dyDescent="0.3">
      <c r="A77" s="1">
        <v>45545</v>
      </c>
      <c r="B77">
        <v>8494</v>
      </c>
      <c r="C77" t="str">
        <f t="shared" si="1"/>
        <v>September</v>
      </c>
    </row>
    <row r="78" spans="1:3" x14ac:dyDescent="0.3">
      <c r="A78" s="1">
        <v>45404</v>
      </c>
      <c r="B78">
        <v>23303</v>
      </c>
      <c r="C78" t="str">
        <f t="shared" si="1"/>
        <v>April</v>
      </c>
    </row>
    <row r="79" spans="1:3" x14ac:dyDescent="0.3">
      <c r="A79" s="1">
        <v>45761</v>
      </c>
      <c r="B79">
        <v>15457</v>
      </c>
      <c r="C79" t="str">
        <f t="shared" si="1"/>
        <v>April</v>
      </c>
    </row>
    <row r="80" spans="1:3" x14ac:dyDescent="0.3">
      <c r="A80" s="1">
        <v>45778</v>
      </c>
      <c r="B80">
        <v>20575</v>
      </c>
      <c r="C80" t="str">
        <f t="shared" si="1"/>
        <v>May</v>
      </c>
    </row>
    <row r="81" spans="1:3" x14ac:dyDescent="0.3">
      <c r="A81" s="1">
        <v>45751</v>
      </c>
      <c r="B81">
        <v>24868</v>
      </c>
      <c r="C81" t="str">
        <f t="shared" si="1"/>
        <v>April</v>
      </c>
    </row>
    <row r="82" spans="1:3" x14ac:dyDescent="0.3">
      <c r="A82" s="1">
        <v>45722</v>
      </c>
      <c r="B82">
        <v>17581</v>
      </c>
      <c r="C82" t="str">
        <f t="shared" si="1"/>
        <v>March</v>
      </c>
    </row>
    <row r="83" spans="1:3" x14ac:dyDescent="0.3">
      <c r="A83" s="1">
        <v>45331</v>
      </c>
      <c r="B83">
        <v>8183</v>
      </c>
      <c r="C83" t="str">
        <f t="shared" si="1"/>
        <v>February</v>
      </c>
    </row>
    <row r="84" spans="1:3" x14ac:dyDescent="0.3">
      <c r="A84" s="1">
        <v>45362</v>
      </c>
      <c r="B84">
        <v>8077</v>
      </c>
      <c r="C84" t="str">
        <f t="shared" si="1"/>
        <v>March</v>
      </c>
    </row>
    <row r="85" spans="1:3" x14ac:dyDescent="0.3">
      <c r="A85" s="1">
        <v>45324</v>
      </c>
      <c r="B85">
        <v>13856</v>
      </c>
      <c r="C85" t="str">
        <f t="shared" si="1"/>
        <v>February</v>
      </c>
    </row>
    <row r="86" spans="1:3" x14ac:dyDescent="0.3">
      <c r="A86" s="1">
        <v>45397</v>
      </c>
      <c r="B86">
        <v>13262</v>
      </c>
      <c r="C86" t="str">
        <f t="shared" si="1"/>
        <v>April</v>
      </c>
    </row>
    <row r="87" spans="1:3" x14ac:dyDescent="0.3">
      <c r="A87" s="1">
        <v>45536</v>
      </c>
      <c r="B87">
        <v>12026</v>
      </c>
      <c r="C87" t="str">
        <f t="shared" si="1"/>
        <v>September</v>
      </c>
    </row>
    <row r="88" spans="1:3" x14ac:dyDescent="0.3">
      <c r="A88" s="1">
        <v>45541</v>
      </c>
      <c r="B88">
        <v>9443</v>
      </c>
      <c r="C88" t="str">
        <f t="shared" si="1"/>
        <v>September</v>
      </c>
    </row>
    <row r="89" spans="1:3" x14ac:dyDescent="0.3">
      <c r="A89" s="1">
        <v>45464</v>
      </c>
      <c r="B89">
        <v>24229</v>
      </c>
      <c r="C89" t="str">
        <f t="shared" si="1"/>
        <v>June</v>
      </c>
    </row>
    <row r="90" spans="1:3" x14ac:dyDescent="0.3">
      <c r="A90" s="1">
        <v>45756</v>
      </c>
      <c r="B90">
        <v>19895</v>
      </c>
      <c r="C90" t="str">
        <f t="shared" si="1"/>
        <v>April</v>
      </c>
    </row>
    <row r="91" spans="1:3" x14ac:dyDescent="0.3">
      <c r="A91" s="1">
        <v>45361</v>
      </c>
      <c r="B91">
        <v>6454</v>
      </c>
      <c r="C91" t="str">
        <f t="shared" si="1"/>
        <v>March</v>
      </c>
    </row>
    <row r="92" spans="1:3" x14ac:dyDescent="0.3">
      <c r="A92" s="1">
        <v>45400</v>
      </c>
      <c r="B92">
        <v>11210</v>
      </c>
      <c r="C92" t="str">
        <f t="shared" si="1"/>
        <v>April</v>
      </c>
    </row>
    <row r="93" spans="1:3" x14ac:dyDescent="0.3">
      <c r="A93" s="1">
        <v>45421</v>
      </c>
      <c r="B93">
        <v>15911</v>
      </c>
      <c r="C93" t="str">
        <f t="shared" si="1"/>
        <v>May</v>
      </c>
    </row>
    <row r="94" spans="1:3" x14ac:dyDescent="0.3">
      <c r="A94" s="1">
        <v>45624</v>
      </c>
      <c r="B94">
        <v>21856</v>
      </c>
      <c r="C94" t="str">
        <f t="shared" si="1"/>
        <v>November</v>
      </c>
    </row>
    <row r="95" spans="1:3" x14ac:dyDescent="0.3">
      <c r="A95" s="1">
        <v>45721</v>
      </c>
      <c r="B95">
        <v>20859</v>
      </c>
      <c r="C95" t="str">
        <f t="shared" si="1"/>
        <v>March</v>
      </c>
    </row>
    <row r="96" spans="1:3" x14ac:dyDescent="0.3">
      <c r="A96" s="1">
        <v>45634</v>
      </c>
      <c r="B96">
        <v>18980</v>
      </c>
      <c r="C96" t="str">
        <f t="shared" si="1"/>
        <v>December</v>
      </c>
    </row>
    <row r="97" spans="1:3" x14ac:dyDescent="0.3">
      <c r="A97" s="1">
        <v>45684</v>
      </c>
      <c r="B97">
        <v>5998</v>
      </c>
      <c r="C97" t="str">
        <f t="shared" si="1"/>
        <v>January</v>
      </c>
    </row>
    <row r="98" spans="1:3" x14ac:dyDescent="0.3">
      <c r="A98" s="1">
        <v>45347</v>
      </c>
      <c r="B98">
        <v>10722</v>
      </c>
      <c r="C98" t="str">
        <f t="shared" si="1"/>
        <v>February</v>
      </c>
    </row>
    <row r="99" spans="1:3" x14ac:dyDescent="0.3">
      <c r="A99" s="1">
        <v>45330</v>
      </c>
      <c r="B99">
        <v>3839</v>
      </c>
      <c r="C99" t="str">
        <f t="shared" si="1"/>
        <v>February</v>
      </c>
    </row>
    <row r="100" spans="1:3" x14ac:dyDescent="0.3">
      <c r="A100" s="1">
        <v>45469</v>
      </c>
      <c r="B100">
        <v>22176</v>
      </c>
      <c r="C100" t="str">
        <f t="shared" si="1"/>
        <v>June</v>
      </c>
    </row>
    <row r="101" spans="1:3" x14ac:dyDescent="0.3">
      <c r="A101" s="1">
        <v>45298</v>
      </c>
      <c r="B101">
        <v>16562</v>
      </c>
      <c r="C101" t="str">
        <f t="shared" si="1"/>
        <v>January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DD47-E615-4DB7-9AAB-D59F205F9564}">
  <dimension ref="A1:H101"/>
  <sheetViews>
    <sheetView workbookViewId="0">
      <selection activeCell="E7" sqref="E7"/>
    </sheetView>
  </sheetViews>
  <sheetFormatPr defaultRowHeight="14.4" x14ac:dyDescent="0.3"/>
  <cols>
    <col min="1" max="1" width="12.77734375" bestFit="1" customWidth="1"/>
    <col min="2" max="2" width="7.33203125" bestFit="1" customWidth="1"/>
  </cols>
  <sheetData>
    <row r="1" spans="1:8" x14ac:dyDescent="0.3">
      <c r="A1" t="s">
        <v>1</v>
      </c>
      <c r="B1" t="s">
        <v>7</v>
      </c>
    </row>
    <row r="2" spans="1:8" x14ac:dyDescent="0.3">
      <c r="A2" s="1">
        <v>45417</v>
      </c>
      <c r="B2">
        <v>5072</v>
      </c>
    </row>
    <row r="3" spans="1:8" x14ac:dyDescent="0.3">
      <c r="A3" s="1">
        <v>45308</v>
      </c>
      <c r="B3">
        <v>3570</v>
      </c>
    </row>
    <row r="4" spans="1:8" x14ac:dyDescent="0.3">
      <c r="A4" s="1">
        <v>45579</v>
      </c>
      <c r="B4">
        <v>23962</v>
      </c>
      <c r="H4">
        <v>17</v>
      </c>
    </row>
    <row r="5" spans="1:8" x14ac:dyDescent="0.3">
      <c r="A5" s="1">
        <v>45593</v>
      </c>
      <c r="B5">
        <v>712</v>
      </c>
    </row>
    <row r="6" spans="1:8" x14ac:dyDescent="0.3">
      <c r="A6" s="1">
        <v>45371</v>
      </c>
      <c r="B6">
        <v>11529</v>
      </c>
      <c r="H6" t="s">
        <v>238</v>
      </c>
    </row>
    <row r="7" spans="1:8" x14ac:dyDescent="0.3">
      <c r="A7" s="1">
        <v>45475</v>
      </c>
      <c r="B7">
        <v>20282</v>
      </c>
    </row>
    <row r="8" spans="1:8" x14ac:dyDescent="0.3">
      <c r="A8" s="1">
        <v>45566</v>
      </c>
      <c r="B8">
        <v>12903</v>
      </c>
    </row>
    <row r="9" spans="1:8" x14ac:dyDescent="0.3">
      <c r="A9" s="1">
        <v>45587</v>
      </c>
      <c r="B9">
        <v>23587</v>
      </c>
    </row>
    <row r="10" spans="1:8" x14ac:dyDescent="0.3">
      <c r="A10" s="1">
        <v>45687</v>
      </c>
      <c r="B10">
        <v>3114</v>
      </c>
    </row>
    <row r="11" spans="1:8" x14ac:dyDescent="0.3">
      <c r="A11" s="1">
        <v>45524</v>
      </c>
      <c r="B11">
        <v>5829</v>
      </c>
    </row>
    <row r="12" spans="1:8" x14ac:dyDescent="0.3">
      <c r="A12" s="1">
        <v>45651</v>
      </c>
      <c r="B12">
        <v>20460</v>
      </c>
    </row>
    <row r="13" spans="1:8" x14ac:dyDescent="0.3">
      <c r="A13" s="1">
        <v>45486</v>
      </c>
      <c r="B13">
        <v>21471</v>
      </c>
    </row>
    <row r="14" spans="1:8" x14ac:dyDescent="0.3">
      <c r="A14" s="1">
        <v>45723</v>
      </c>
      <c r="B14">
        <v>8005</v>
      </c>
    </row>
    <row r="15" spans="1:8" x14ac:dyDescent="0.3">
      <c r="A15" s="1">
        <v>45325</v>
      </c>
      <c r="B15">
        <v>19085</v>
      </c>
    </row>
    <row r="16" spans="1:8" x14ac:dyDescent="0.3">
      <c r="A16" s="1">
        <v>45494</v>
      </c>
      <c r="B16">
        <v>5181</v>
      </c>
    </row>
    <row r="17" spans="1:2" x14ac:dyDescent="0.3">
      <c r="A17" s="1">
        <v>45674</v>
      </c>
      <c r="B17">
        <v>19621</v>
      </c>
    </row>
    <row r="18" spans="1:2" x14ac:dyDescent="0.3">
      <c r="A18" s="1">
        <v>45552</v>
      </c>
      <c r="B18">
        <v>3478</v>
      </c>
    </row>
    <row r="19" spans="1:2" x14ac:dyDescent="0.3">
      <c r="A19" s="1">
        <v>45697</v>
      </c>
      <c r="B19">
        <v>20043</v>
      </c>
    </row>
    <row r="20" spans="1:2" x14ac:dyDescent="0.3">
      <c r="A20" s="1">
        <v>45562</v>
      </c>
      <c r="B20">
        <v>18628</v>
      </c>
    </row>
    <row r="21" spans="1:2" x14ac:dyDescent="0.3">
      <c r="A21" s="1">
        <v>45685</v>
      </c>
      <c r="B21">
        <v>4155</v>
      </c>
    </row>
    <row r="22" spans="1:2" x14ac:dyDescent="0.3">
      <c r="A22" s="1">
        <v>45293</v>
      </c>
      <c r="B22">
        <v>16903</v>
      </c>
    </row>
    <row r="23" spans="1:2" x14ac:dyDescent="0.3">
      <c r="A23" s="1">
        <v>45722</v>
      </c>
      <c r="B23">
        <v>5508</v>
      </c>
    </row>
    <row r="24" spans="1:2" x14ac:dyDescent="0.3">
      <c r="A24" s="1">
        <v>45598</v>
      </c>
      <c r="B24">
        <v>16510</v>
      </c>
    </row>
    <row r="25" spans="1:2" x14ac:dyDescent="0.3">
      <c r="A25" s="1">
        <v>45414</v>
      </c>
      <c r="B25">
        <v>8392</v>
      </c>
    </row>
    <row r="26" spans="1:2" x14ac:dyDescent="0.3">
      <c r="A26" s="1">
        <v>45709</v>
      </c>
      <c r="B26">
        <v>17955</v>
      </c>
    </row>
    <row r="27" spans="1:2" x14ac:dyDescent="0.3">
      <c r="A27" s="1">
        <v>45776</v>
      </c>
      <c r="B27">
        <v>9185</v>
      </c>
    </row>
    <row r="28" spans="1:2" x14ac:dyDescent="0.3">
      <c r="A28" s="1">
        <v>45657</v>
      </c>
      <c r="B28">
        <v>13574</v>
      </c>
    </row>
    <row r="29" spans="1:2" x14ac:dyDescent="0.3">
      <c r="A29" s="1">
        <v>45353</v>
      </c>
      <c r="B29">
        <v>7862</v>
      </c>
    </row>
    <row r="30" spans="1:2" x14ac:dyDescent="0.3">
      <c r="A30" s="1">
        <v>45593</v>
      </c>
      <c r="B30">
        <v>735</v>
      </c>
    </row>
    <row r="31" spans="1:2" x14ac:dyDescent="0.3">
      <c r="A31" s="1">
        <v>45755</v>
      </c>
      <c r="B31">
        <v>11327</v>
      </c>
    </row>
    <row r="32" spans="1:2" x14ac:dyDescent="0.3">
      <c r="A32" s="1">
        <v>45401</v>
      </c>
      <c r="B32">
        <v>24202</v>
      </c>
    </row>
    <row r="33" spans="1:2" x14ac:dyDescent="0.3">
      <c r="A33" s="1">
        <v>45705</v>
      </c>
      <c r="B33">
        <v>6739</v>
      </c>
    </row>
    <row r="34" spans="1:2" x14ac:dyDescent="0.3">
      <c r="A34" s="1">
        <v>45473</v>
      </c>
      <c r="B34">
        <v>13970</v>
      </c>
    </row>
    <row r="35" spans="1:2" x14ac:dyDescent="0.3">
      <c r="A35" s="1">
        <v>45323</v>
      </c>
      <c r="B35">
        <v>24362</v>
      </c>
    </row>
    <row r="36" spans="1:2" x14ac:dyDescent="0.3">
      <c r="A36" s="1">
        <v>45389</v>
      </c>
      <c r="B36">
        <v>5093</v>
      </c>
    </row>
    <row r="37" spans="1:2" x14ac:dyDescent="0.3">
      <c r="A37" s="1">
        <v>45419</v>
      </c>
      <c r="B37">
        <v>15020</v>
      </c>
    </row>
    <row r="38" spans="1:2" x14ac:dyDescent="0.3">
      <c r="A38" s="1">
        <v>45788</v>
      </c>
      <c r="B38">
        <v>8245</v>
      </c>
    </row>
    <row r="39" spans="1:2" x14ac:dyDescent="0.3">
      <c r="A39" s="1">
        <v>45401</v>
      </c>
      <c r="B39">
        <v>2421</v>
      </c>
    </row>
    <row r="40" spans="1:2" x14ac:dyDescent="0.3">
      <c r="A40" s="1">
        <v>45427</v>
      </c>
      <c r="B40">
        <v>9847</v>
      </c>
    </row>
    <row r="41" spans="1:2" x14ac:dyDescent="0.3">
      <c r="A41" s="1">
        <v>45443</v>
      </c>
      <c r="B41">
        <v>2416</v>
      </c>
    </row>
    <row r="42" spans="1:2" x14ac:dyDescent="0.3">
      <c r="A42" s="1">
        <v>45321</v>
      </c>
      <c r="B42">
        <v>19642</v>
      </c>
    </row>
    <row r="43" spans="1:2" x14ac:dyDescent="0.3">
      <c r="A43" s="1">
        <v>45727</v>
      </c>
      <c r="B43">
        <v>2745</v>
      </c>
    </row>
    <row r="44" spans="1:2" x14ac:dyDescent="0.3">
      <c r="A44" s="1">
        <v>45498</v>
      </c>
      <c r="B44">
        <v>19167</v>
      </c>
    </row>
    <row r="45" spans="1:2" x14ac:dyDescent="0.3">
      <c r="A45" s="1">
        <v>45506</v>
      </c>
      <c r="B45">
        <v>9044</v>
      </c>
    </row>
    <row r="46" spans="1:2" x14ac:dyDescent="0.3">
      <c r="A46" s="1">
        <v>45494</v>
      </c>
      <c r="B46">
        <v>22509</v>
      </c>
    </row>
    <row r="47" spans="1:2" x14ac:dyDescent="0.3">
      <c r="A47" s="1">
        <v>45296</v>
      </c>
      <c r="B47">
        <v>20854</v>
      </c>
    </row>
    <row r="48" spans="1:2" x14ac:dyDescent="0.3">
      <c r="A48" s="1">
        <v>45551</v>
      </c>
      <c r="B48">
        <v>4840</v>
      </c>
    </row>
    <row r="49" spans="1:2" x14ac:dyDescent="0.3">
      <c r="A49" s="1">
        <v>45437</v>
      </c>
      <c r="B49">
        <v>14858</v>
      </c>
    </row>
    <row r="50" spans="1:2" x14ac:dyDescent="0.3">
      <c r="A50" s="1">
        <v>45633</v>
      </c>
      <c r="B50">
        <v>22237</v>
      </c>
    </row>
    <row r="51" spans="1:2" x14ac:dyDescent="0.3">
      <c r="A51" s="1">
        <v>45747</v>
      </c>
      <c r="B51">
        <v>24827</v>
      </c>
    </row>
    <row r="52" spans="1:2" x14ac:dyDescent="0.3">
      <c r="A52" s="1">
        <v>45601</v>
      </c>
      <c r="B52">
        <v>24014</v>
      </c>
    </row>
    <row r="53" spans="1:2" x14ac:dyDescent="0.3">
      <c r="A53" s="1">
        <v>45550</v>
      </c>
      <c r="B53">
        <v>8728</v>
      </c>
    </row>
    <row r="54" spans="1:2" x14ac:dyDescent="0.3">
      <c r="A54" s="1">
        <v>45716</v>
      </c>
      <c r="B54">
        <v>1944</v>
      </c>
    </row>
    <row r="55" spans="1:2" x14ac:dyDescent="0.3">
      <c r="A55" s="1">
        <v>45374</v>
      </c>
      <c r="B55">
        <v>18577</v>
      </c>
    </row>
    <row r="56" spans="1:2" x14ac:dyDescent="0.3">
      <c r="A56" s="1">
        <v>45775</v>
      </c>
      <c r="B56">
        <v>18377</v>
      </c>
    </row>
    <row r="57" spans="1:2" x14ac:dyDescent="0.3">
      <c r="A57" s="1">
        <v>45512</v>
      </c>
      <c r="B57">
        <v>1870</v>
      </c>
    </row>
    <row r="58" spans="1:2" x14ac:dyDescent="0.3">
      <c r="A58" s="1">
        <v>45399</v>
      </c>
      <c r="B58">
        <v>22354</v>
      </c>
    </row>
    <row r="59" spans="1:2" x14ac:dyDescent="0.3">
      <c r="A59" s="1">
        <v>45790</v>
      </c>
      <c r="B59">
        <v>8257</v>
      </c>
    </row>
    <row r="60" spans="1:2" x14ac:dyDescent="0.3">
      <c r="A60" s="1">
        <v>45383</v>
      </c>
      <c r="B60">
        <v>13991</v>
      </c>
    </row>
    <row r="61" spans="1:2" x14ac:dyDescent="0.3">
      <c r="A61" s="1">
        <v>45487</v>
      </c>
      <c r="B61">
        <v>15923</v>
      </c>
    </row>
    <row r="62" spans="1:2" x14ac:dyDescent="0.3">
      <c r="A62" s="1">
        <v>45448</v>
      </c>
      <c r="B62">
        <v>7804</v>
      </c>
    </row>
    <row r="63" spans="1:2" x14ac:dyDescent="0.3">
      <c r="A63" s="1">
        <v>45434</v>
      </c>
      <c r="B63">
        <v>9646</v>
      </c>
    </row>
    <row r="64" spans="1:2" x14ac:dyDescent="0.3">
      <c r="A64" s="1">
        <v>45772</v>
      </c>
      <c r="B64">
        <v>4279</v>
      </c>
    </row>
    <row r="65" spans="1:2" x14ac:dyDescent="0.3">
      <c r="A65" s="1">
        <v>45311</v>
      </c>
      <c r="B65">
        <v>20048</v>
      </c>
    </row>
    <row r="66" spans="1:2" x14ac:dyDescent="0.3">
      <c r="A66" s="1">
        <v>45515</v>
      </c>
      <c r="B66">
        <v>13122</v>
      </c>
    </row>
    <row r="67" spans="1:2" x14ac:dyDescent="0.3">
      <c r="A67" s="1">
        <v>45654</v>
      </c>
      <c r="B67">
        <v>555</v>
      </c>
    </row>
    <row r="68" spans="1:2" x14ac:dyDescent="0.3">
      <c r="A68" s="1">
        <v>45327</v>
      </c>
      <c r="B68">
        <v>20919</v>
      </c>
    </row>
    <row r="69" spans="1:2" x14ac:dyDescent="0.3">
      <c r="A69" s="1">
        <v>45551</v>
      </c>
      <c r="B69">
        <v>22352</v>
      </c>
    </row>
    <row r="70" spans="1:2" x14ac:dyDescent="0.3">
      <c r="A70" s="1">
        <v>45575</v>
      </c>
      <c r="B70">
        <v>6786</v>
      </c>
    </row>
    <row r="71" spans="1:2" x14ac:dyDescent="0.3">
      <c r="A71" s="1">
        <v>45607</v>
      </c>
      <c r="B71">
        <v>13806</v>
      </c>
    </row>
    <row r="72" spans="1:2" x14ac:dyDescent="0.3">
      <c r="A72" s="1">
        <v>45399</v>
      </c>
      <c r="B72">
        <v>19504</v>
      </c>
    </row>
    <row r="73" spans="1:2" x14ac:dyDescent="0.3">
      <c r="A73" s="1">
        <v>45518</v>
      </c>
      <c r="B73">
        <v>17250</v>
      </c>
    </row>
    <row r="74" spans="1:2" x14ac:dyDescent="0.3">
      <c r="A74" s="1">
        <v>45437</v>
      </c>
      <c r="B74">
        <v>3560</v>
      </c>
    </row>
    <row r="75" spans="1:2" x14ac:dyDescent="0.3">
      <c r="A75" s="1">
        <v>45367</v>
      </c>
      <c r="B75">
        <v>2014</v>
      </c>
    </row>
    <row r="76" spans="1:2" x14ac:dyDescent="0.3">
      <c r="A76" s="1">
        <v>45525</v>
      </c>
      <c r="B76">
        <v>21136</v>
      </c>
    </row>
    <row r="77" spans="1:2" x14ac:dyDescent="0.3">
      <c r="A77" s="1">
        <v>45545</v>
      </c>
      <c r="B77">
        <v>8494</v>
      </c>
    </row>
    <row r="78" spans="1:2" x14ac:dyDescent="0.3">
      <c r="A78" s="1">
        <v>45404</v>
      </c>
      <c r="B78">
        <v>23303</v>
      </c>
    </row>
    <row r="79" spans="1:2" x14ac:dyDescent="0.3">
      <c r="A79" s="1">
        <v>45761</v>
      </c>
      <c r="B79">
        <v>15457</v>
      </c>
    </row>
    <row r="80" spans="1:2" x14ac:dyDescent="0.3">
      <c r="A80" s="1">
        <v>45778</v>
      </c>
      <c r="B80">
        <v>20575</v>
      </c>
    </row>
    <row r="81" spans="1:2" x14ac:dyDescent="0.3">
      <c r="A81" s="1">
        <v>45751</v>
      </c>
      <c r="B81">
        <v>24868</v>
      </c>
    </row>
    <row r="82" spans="1:2" x14ac:dyDescent="0.3">
      <c r="A82" s="1">
        <v>45722</v>
      </c>
      <c r="B82">
        <v>17581</v>
      </c>
    </row>
    <row r="83" spans="1:2" x14ac:dyDescent="0.3">
      <c r="A83" s="1">
        <v>45331</v>
      </c>
      <c r="B83">
        <v>8183</v>
      </c>
    </row>
    <row r="84" spans="1:2" x14ac:dyDescent="0.3">
      <c r="A84" s="1">
        <v>45362</v>
      </c>
      <c r="B84">
        <v>8077</v>
      </c>
    </row>
    <row r="85" spans="1:2" x14ac:dyDescent="0.3">
      <c r="A85" s="1">
        <v>45324</v>
      </c>
      <c r="B85">
        <v>13856</v>
      </c>
    </row>
    <row r="86" spans="1:2" x14ac:dyDescent="0.3">
      <c r="A86" s="1">
        <v>45397</v>
      </c>
      <c r="B86">
        <v>13262</v>
      </c>
    </row>
    <row r="87" spans="1:2" x14ac:dyDescent="0.3">
      <c r="A87" s="1">
        <v>45536</v>
      </c>
      <c r="B87">
        <v>12026</v>
      </c>
    </row>
    <row r="88" spans="1:2" x14ac:dyDescent="0.3">
      <c r="A88" s="1">
        <v>45541</v>
      </c>
      <c r="B88">
        <v>9443</v>
      </c>
    </row>
    <row r="89" spans="1:2" x14ac:dyDescent="0.3">
      <c r="A89" s="1">
        <v>45464</v>
      </c>
      <c r="B89">
        <v>24229</v>
      </c>
    </row>
    <row r="90" spans="1:2" x14ac:dyDescent="0.3">
      <c r="A90" s="1">
        <v>45756</v>
      </c>
      <c r="B90">
        <v>19895</v>
      </c>
    </row>
    <row r="91" spans="1:2" x14ac:dyDescent="0.3">
      <c r="A91" s="1">
        <v>45361</v>
      </c>
      <c r="B91">
        <v>6454</v>
      </c>
    </row>
    <row r="92" spans="1:2" x14ac:dyDescent="0.3">
      <c r="A92" s="1">
        <v>45400</v>
      </c>
      <c r="B92">
        <v>11210</v>
      </c>
    </row>
    <row r="93" spans="1:2" x14ac:dyDescent="0.3">
      <c r="A93" s="1">
        <v>45421</v>
      </c>
      <c r="B93">
        <v>15911</v>
      </c>
    </row>
    <row r="94" spans="1:2" x14ac:dyDescent="0.3">
      <c r="A94" s="1">
        <v>45624</v>
      </c>
      <c r="B94">
        <v>21856</v>
      </c>
    </row>
    <row r="95" spans="1:2" x14ac:dyDescent="0.3">
      <c r="A95" s="1">
        <v>45721</v>
      </c>
      <c r="B95">
        <v>20859</v>
      </c>
    </row>
    <row r="96" spans="1:2" x14ac:dyDescent="0.3">
      <c r="A96" s="1">
        <v>45634</v>
      </c>
      <c r="B96">
        <v>18980</v>
      </c>
    </row>
    <row r="97" spans="1:2" x14ac:dyDescent="0.3">
      <c r="A97" s="1">
        <v>45684</v>
      </c>
      <c r="B97">
        <v>5998</v>
      </c>
    </row>
    <row r="98" spans="1:2" x14ac:dyDescent="0.3">
      <c r="A98" s="1">
        <v>45347</v>
      </c>
      <c r="B98">
        <v>10722</v>
      </c>
    </row>
    <row r="99" spans="1:2" x14ac:dyDescent="0.3">
      <c r="A99" s="1">
        <v>45330</v>
      </c>
      <c r="B99">
        <v>3839</v>
      </c>
    </row>
    <row r="100" spans="1:2" x14ac:dyDescent="0.3">
      <c r="A100" s="1">
        <v>45469</v>
      </c>
      <c r="B100">
        <v>22176</v>
      </c>
    </row>
    <row r="101" spans="1:2" x14ac:dyDescent="0.3">
      <c r="A101" s="1">
        <v>45298</v>
      </c>
      <c r="B101">
        <v>16562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611A-5091-484A-8DE9-B94011C4891E}">
  <dimension ref="I5:I7"/>
  <sheetViews>
    <sheetView workbookViewId="0">
      <selection activeCell="H4" sqref="H4"/>
    </sheetView>
  </sheetViews>
  <sheetFormatPr defaultRowHeight="14.4" x14ac:dyDescent="0.3"/>
  <sheetData>
    <row r="5" spans="9:9" x14ac:dyDescent="0.3">
      <c r="I5">
        <v>18</v>
      </c>
    </row>
    <row r="7" spans="9:9" x14ac:dyDescent="0.3">
      <c r="I7" t="s">
        <v>239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A86B-E450-40E4-928B-E6E05E99C0E6}">
  <dimension ref="I5:I7"/>
  <sheetViews>
    <sheetView workbookViewId="0">
      <selection activeCell="K5" sqref="K5"/>
    </sheetView>
  </sheetViews>
  <sheetFormatPr defaultRowHeight="14.4" x14ac:dyDescent="0.3"/>
  <sheetData>
    <row r="5" spans="9:9" x14ac:dyDescent="0.3">
      <c r="I5">
        <v>19</v>
      </c>
    </row>
    <row r="7" spans="9:9" x14ac:dyDescent="0.3">
      <c r="I7" t="s">
        <v>240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7584-09F8-4293-B8D8-545009D2D33A}">
  <dimension ref="A1:J101"/>
  <sheetViews>
    <sheetView workbookViewId="0">
      <selection activeCell="J25" sqref="J25"/>
    </sheetView>
  </sheetViews>
  <sheetFormatPr defaultRowHeight="14.4" x14ac:dyDescent="0.3"/>
  <cols>
    <col min="1" max="1" width="12.77734375" bestFit="1" customWidth="1"/>
    <col min="2" max="2" width="7.33203125" bestFit="1" customWidth="1"/>
  </cols>
  <sheetData>
    <row r="1" spans="1:10" x14ac:dyDescent="0.3">
      <c r="A1" t="s">
        <v>1</v>
      </c>
      <c r="B1" t="s">
        <v>7</v>
      </c>
    </row>
    <row r="2" spans="1:10" x14ac:dyDescent="0.3">
      <c r="A2" s="1">
        <v>45417</v>
      </c>
      <c r="B2">
        <v>5072</v>
      </c>
    </row>
    <row r="3" spans="1:10" x14ac:dyDescent="0.3">
      <c r="A3" s="1">
        <v>45308</v>
      </c>
      <c r="B3">
        <v>3570</v>
      </c>
    </row>
    <row r="4" spans="1:10" x14ac:dyDescent="0.3">
      <c r="A4" s="1">
        <v>45579</v>
      </c>
      <c r="B4">
        <v>23962</v>
      </c>
      <c r="J4">
        <v>20</v>
      </c>
    </row>
    <row r="5" spans="1:10" x14ac:dyDescent="0.3">
      <c r="A5" s="1">
        <v>45593</v>
      </c>
      <c r="B5">
        <v>712</v>
      </c>
    </row>
    <row r="6" spans="1:10" x14ac:dyDescent="0.3">
      <c r="A6" s="1">
        <v>45371</v>
      </c>
      <c r="B6">
        <v>11529</v>
      </c>
      <c r="J6" t="s">
        <v>241</v>
      </c>
    </row>
    <row r="7" spans="1:10" x14ac:dyDescent="0.3">
      <c r="A7" s="1">
        <v>45475</v>
      </c>
      <c r="B7">
        <v>20282</v>
      </c>
    </row>
    <row r="8" spans="1:10" x14ac:dyDescent="0.3">
      <c r="A8" s="1">
        <v>45566</v>
      </c>
      <c r="B8">
        <v>12903</v>
      </c>
    </row>
    <row r="9" spans="1:10" x14ac:dyDescent="0.3">
      <c r="A9" s="1">
        <v>45587</v>
      </c>
      <c r="B9">
        <v>23587</v>
      </c>
    </row>
    <row r="10" spans="1:10" x14ac:dyDescent="0.3">
      <c r="A10" s="1">
        <v>45687</v>
      </c>
      <c r="B10">
        <v>3114</v>
      </c>
    </row>
    <row r="11" spans="1:10" x14ac:dyDescent="0.3">
      <c r="A11" s="1">
        <v>45524</v>
      </c>
      <c r="B11">
        <v>5829</v>
      </c>
    </row>
    <row r="12" spans="1:10" x14ac:dyDescent="0.3">
      <c r="A12" s="1">
        <v>45651</v>
      </c>
      <c r="B12">
        <v>20460</v>
      </c>
    </row>
    <row r="13" spans="1:10" x14ac:dyDescent="0.3">
      <c r="A13" s="1">
        <v>45486</v>
      </c>
      <c r="B13">
        <v>21471</v>
      </c>
    </row>
    <row r="14" spans="1:10" x14ac:dyDescent="0.3">
      <c r="A14" s="1">
        <v>45723</v>
      </c>
      <c r="B14">
        <v>8005</v>
      </c>
    </row>
    <row r="15" spans="1:10" x14ac:dyDescent="0.3">
      <c r="A15" s="1">
        <v>45325</v>
      </c>
      <c r="B15">
        <v>19085</v>
      </c>
    </row>
    <row r="16" spans="1:10" x14ac:dyDescent="0.3">
      <c r="A16" s="1">
        <v>45494</v>
      </c>
      <c r="B16">
        <v>5181</v>
      </c>
    </row>
    <row r="17" spans="1:2" x14ac:dyDescent="0.3">
      <c r="A17" s="1">
        <v>45674</v>
      </c>
      <c r="B17">
        <v>19621</v>
      </c>
    </row>
    <row r="18" spans="1:2" x14ac:dyDescent="0.3">
      <c r="A18" s="1">
        <v>45552</v>
      </c>
      <c r="B18">
        <v>3478</v>
      </c>
    </row>
    <row r="19" spans="1:2" x14ac:dyDescent="0.3">
      <c r="A19" s="1">
        <v>45697</v>
      </c>
      <c r="B19">
        <v>20043</v>
      </c>
    </row>
    <row r="20" spans="1:2" x14ac:dyDescent="0.3">
      <c r="A20" s="1">
        <v>45562</v>
      </c>
      <c r="B20">
        <v>18628</v>
      </c>
    </row>
    <row r="21" spans="1:2" x14ac:dyDescent="0.3">
      <c r="A21" s="1">
        <v>45685</v>
      </c>
      <c r="B21">
        <v>4155</v>
      </c>
    </row>
    <row r="22" spans="1:2" x14ac:dyDescent="0.3">
      <c r="A22" s="1">
        <v>45293</v>
      </c>
      <c r="B22">
        <v>16903</v>
      </c>
    </row>
    <row r="23" spans="1:2" x14ac:dyDescent="0.3">
      <c r="A23" s="1">
        <v>45722</v>
      </c>
      <c r="B23">
        <v>5508</v>
      </c>
    </row>
    <row r="24" spans="1:2" x14ac:dyDescent="0.3">
      <c r="A24" s="1">
        <v>45598</v>
      </c>
      <c r="B24">
        <v>16510</v>
      </c>
    </row>
    <row r="25" spans="1:2" x14ac:dyDescent="0.3">
      <c r="A25" s="1">
        <v>45414</v>
      </c>
      <c r="B25">
        <v>8392</v>
      </c>
    </row>
    <row r="26" spans="1:2" x14ac:dyDescent="0.3">
      <c r="A26" s="1">
        <v>45709</v>
      </c>
      <c r="B26">
        <v>17955</v>
      </c>
    </row>
    <row r="27" spans="1:2" x14ac:dyDescent="0.3">
      <c r="A27" s="1">
        <v>45776</v>
      </c>
      <c r="B27">
        <v>9185</v>
      </c>
    </row>
    <row r="28" spans="1:2" x14ac:dyDescent="0.3">
      <c r="A28" s="1">
        <v>45657</v>
      </c>
      <c r="B28">
        <v>13574</v>
      </c>
    </row>
    <row r="29" spans="1:2" x14ac:dyDescent="0.3">
      <c r="A29" s="1">
        <v>45353</v>
      </c>
      <c r="B29">
        <v>7862</v>
      </c>
    </row>
    <row r="30" spans="1:2" x14ac:dyDescent="0.3">
      <c r="A30" s="1">
        <v>45593</v>
      </c>
      <c r="B30">
        <v>735</v>
      </c>
    </row>
    <row r="31" spans="1:2" x14ac:dyDescent="0.3">
      <c r="A31" s="1">
        <v>45755</v>
      </c>
      <c r="B31">
        <v>11327</v>
      </c>
    </row>
    <row r="32" spans="1:2" x14ac:dyDescent="0.3">
      <c r="A32" s="1">
        <v>45401</v>
      </c>
      <c r="B32">
        <v>24202</v>
      </c>
    </row>
    <row r="33" spans="1:2" x14ac:dyDescent="0.3">
      <c r="A33" s="1">
        <v>45705</v>
      </c>
      <c r="B33">
        <v>6739</v>
      </c>
    </row>
    <row r="34" spans="1:2" x14ac:dyDescent="0.3">
      <c r="A34" s="1">
        <v>45473</v>
      </c>
      <c r="B34">
        <v>13970</v>
      </c>
    </row>
    <row r="35" spans="1:2" x14ac:dyDescent="0.3">
      <c r="A35" s="1">
        <v>45323</v>
      </c>
      <c r="B35">
        <v>24362</v>
      </c>
    </row>
    <row r="36" spans="1:2" x14ac:dyDescent="0.3">
      <c r="A36" s="1">
        <v>45389</v>
      </c>
      <c r="B36">
        <v>5093</v>
      </c>
    </row>
    <row r="37" spans="1:2" x14ac:dyDescent="0.3">
      <c r="A37" s="1">
        <v>45419</v>
      </c>
      <c r="B37">
        <v>15020</v>
      </c>
    </row>
    <row r="38" spans="1:2" x14ac:dyDescent="0.3">
      <c r="A38" s="1">
        <v>45788</v>
      </c>
      <c r="B38">
        <v>8245</v>
      </c>
    </row>
    <row r="39" spans="1:2" x14ac:dyDescent="0.3">
      <c r="A39" s="1">
        <v>45401</v>
      </c>
      <c r="B39">
        <v>2421</v>
      </c>
    </row>
    <row r="40" spans="1:2" x14ac:dyDescent="0.3">
      <c r="A40" s="1">
        <v>45427</v>
      </c>
      <c r="B40">
        <v>9847</v>
      </c>
    </row>
    <row r="41" spans="1:2" x14ac:dyDescent="0.3">
      <c r="A41" s="1">
        <v>45443</v>
      </c>
      <c r="B41">
        <v>2416</v>
      </c>
    </row>
    <row r="42" spans="1:2" x14ac:dyDescent="0.3">
      <c r="A42" s="1">
        <v>45321</v>
      </c>
      <c r="B42">
        <v>19642</v>
      </c>
    </row>
    <row r="43" spans="1:2" x14ac:dyDescent="0.3">
      <c r="A43" s="1">
        <v>45727</v>
      </c>
      <c r="B43">
        <v>2745</v>
      </c>
    </row>
    <row r="44" spans="1:2" x14ac:dyDescent="0.3">
      <c r="A44" s="1">
        <v>45498</v>
      </c>
      <c r="B44">
        <v>19167</v>
      </c>
    </row>
    <row r="45" spans="1:2" x14ac:dyDescent="0.3">
      <c r="A45" s="1">
        <v>45506</v>
      </c>
      <c r="B45">
        <v>9044</v>
      </c>
    </row>
    <row r="46" spans="1:2" x14ac:dyDescent="0.3">
      <c r="A46" s="1">
        <v>45494</v>
      </c>
      <c r="B46">
        <v>22509</v>
      </c>
    </row>
    <row r="47" spans="1:2" x14ac:dyDescent="0.3">
      <c r="A47" s="1">
        <v>45296</v>
      </c>
      <c r="B47">
        <v>20854</v>
      </c>
    </row>
    <row r="48" spans="1:2" x14ac:dyDescent="0.3">
      <c r="A48" s="1">
        <v>45551</v>
      </c>
      <c r="B48">
        <v>4840</v>
      </c>
    </row>
    <row r="49" spans="1:2" x14ac:dyDescent="0.3">
      <c r="A49" s="1">
        <v>45437</v>
      </c>
      <c r="B49">
        <v>14858</v>
      </c>
    </row>
    <row r="50" spans="1:2" x14ac:dyDescent="0.3">
      <c r="A50" s="1">
        <v>45633</v>
      </c>
      <c r="B50">
        <v>22237</v>
      </c>
    </row>
    <row r="51" spans="1:2" x14ac:dyDescent="0.3">
      <c r="A51" s="1">
        <v>45747</v>
      </c>
      <c r="B51">
        <v>24827</v>
      </c>
    </row>
    <row r="52" spans="1:2" x14ac:dyDescent="0.3">
      <c r="A52" s="1">
        <v>45601</v>
      </c>
      <c r="B52">
        <v>24014</v>
      </c>
    </row>
    <row r="53" spans="1:2" x14ac:dyDescent="0.3">
      <c r="A53" s="1">
        <v>45550</v>
      </c>
      <c r="B53">
        <v>8728</v>
      </c>
    </row>
    <row r="54" spans="1:2" x14ac:dyDescent="0.3">
      <c r="A54" s="1">
        <v>45716</v>
      </c>
      <c r="B54">
        <v>1944</v>
      </c>
    </row>
    <row r="55" spans="1:2" x14ac:dyDescent="0.3">
      <c r="A55" s="1">
        <v>45374</v>
      </c>
      <c r="B55">
        <v>18577</v>
      </c>
    </row>
    <row r="56" spans="1:2" x14ac:dyDescent="0.3">
      <c r="A56" s="1">
        <v>45775</v>
      </c>
      <c r="B56">
        <v>18377</v>
      </c>
    </row>
    <row r="57" spans="1:2" x14ac:dyDescent="0.3">
      <c r="A57" s="1">
        <v>45512</v>
      </c>
      <c r="B57">
        <v>1870</v>
      </c>
    </row>
    <row r="58" spans="1:2" x14ac:dyDescent="0.3">
      <c r="A58" s="1">
        <v>45399</v>
      </c>
      <c r="B58">
        <v>22354</v>
      </c>
    </row>
    <row r="59" spans="1:2" x14ac:dyDescent="0.3">
      <c r="A59" s="1">
        <v>45790</v>
      </c>
      <c r="B59">
        <v>8257</v>
      </c>
    </row>
    <row r="60" spans="1:2" x14ac:dyDescent="0.3">
      <c r="A60" s="1">
        <v>45383</v>
      </c>
      <c r="B60">
        <v>13991</v>
      </c>
    </row>
    <row r="61" spans="1:2" x14ac:dyDescent="0.3">
      <c r="A61" s="1">
        <v>45487</v>
      </c>
      <c r="B61">
        <v>15923</v>
      </c>
    </row>
    <row r="62" spans="1:2" x14ac:dyDescent="0.3">
      <c r="A62" s="1">
        <v>45448</v>
      </c>
      <c r="B62">
        <v>7804</v>
      </c>
    </row>
    <row r="63" spans="1:2" x14ac:dyDescent="0.3">
      <c r="A63" s="1">
        <v>45434</v>
      </c>
      <c r="B63">
        <v>9646</v>
      </c>
    </row>
    <row r="64" spans="1:2" x14ac:dyDescent="0.3">
      <c r="A64" s="1">
        <v>45772</v>
      </c>
      <c r="B64">
        <v>4279</v>
      </c>
    </row>
    <row r="65" spans="1:2" x14ac:dyDescent="0.3">
      <c r="A65" s="1">
        <v>45311</v>
      </c>
      <c r="B65">
        <v>20048</v>
      </c>
    </row>
    <row r="66" spans="1:2" x14ac:dyDescent="0.3">
      <c r="A66" s="1">
        <v>45515</v>
      </c>
      <c r="B66">
        <v>13122</v>
      </c>
    </row>
    <row r="67" spans="1:2" x14ac:dyDescent="0.3">
      <c r="A67" s="1">
        <v>45654</v>
      </c>
      <c r="B67">
        <v>555</v>
      </c>
    </row>
    <row r="68" spans="1:2" x14ac:dyDescent="0.3">
      <c r="A68" s="1">
        <v>45327</v>
      </c>
      <c r="B68">
        <v>20919</v>
      </c>
    </row>
    <row r="69" spans="1:2" x14ac:dyDescent="0.3">
      <c r="A69" s="1">
        <v>45551</v>
      </c>
      <c r="B69">
        <v>22352</v>
      </c>
    </row>
    <row r="70" spans="1:2" x14ac:dyDescent="0.3">
      <c r="A70" s="1">
        <v>45575</v>
      </c>
      <c r="B70">
        <v>6786</v>
      </c>
    </row>
    <row r="71" spans="1:2" x14ac:dyDescent="0.3">
      <c r="A71" s="1">
        <v>45607</v>
      </c>
      <c r="B71">
        <v>13806</v>
      </c>
    </row>
    <row r="72" spans="1:2" x14ac:dyDescent="0.3">
      <c r="A72" s="1">
        <v>45399</v>
      </c>
      <c r="B72">
        <v>19504</v>
      </c>
    </row>
    <row r="73" spans="1:2" x14ac:dyDescent="0.3">
      <c r="A73" s="1">
        <v>45518</v>
      </c>
      <c r="B73">
        <v>17250</v>
      </c>
    </row>
    <row r="74" spans="1:2" x14ac:dyDescent="0.3">
      <c r="A74" s="1">
        <v>45437</v>
      </c>
      <c r="B74">
        <v>3560</v>
      </c>
    </row>
    <row r="75" spans="1:2" x14ac:dyDescent="0.3">
      <c r="A75" s="1">
        <v>45367</v>
      </c>
      <c r="B75">
        <v>2014</v>
      </c>
    </row>
    <row r="76" spans="1:2" x14ac:dyDescent="0.3">
      <c r="A76" s="1">
        <v>45525</v>
      </c>
      <c r="B76">
        <v>21136</v>
      </c>
    </row>
    <row r="77" spans="1:2" x14ac:dyDescent="0.3">
      <c r="A77" s="1">
        <v>45545</v>
      </c>
      <c r="B77">
        <v>8494</v>
      </c>
    </row>
    <row r="78" spans="1:2" x14ac:dyDescent="0.3">
      <c r="A78" s="1">
        <v>45404</v>
      </c>
      <c r="B78">
        <v>23303</v>
      </c>
    </row>
    <row r="79" spans="1:2" x14ac:dyDescent="0.3">
      <c r="A79" s="1">
        <v>45761</v>
      </c>
      <c r="B79">
        <v>15457</v>
      </c>
    </row>
    <row r="80" spans="1:2" x14ac:dyDescent="0.3">
      <c r="A80" s="1">
        <v>45778</v>
      </c>
      <c r="B80">
        <v>20575</v>
      </c>
    </row>
    <row r="81" spans="1:2" x14ac:dyDescent="0.3">
      <c r="A81" s="1">
        <v>45751</v>
      </c>
      <c r="B81">
        <v>24868</v>
      </c>
    </row>
    <row r="82" spans="1:2" x14ac:dyDescent="0.3">
      <c r="A82" s="1">
        <v>45722</v>
      </c>
      <c r="B82">
        <v>17581</v>
      </c>
    </row>
    <row r="83" spans="1:2" x14ac:dyDescent="0.3">
      <c r="A83" s="1">
        <v>45331</v>
      </c>
      <c r="B83">
        <v>8183</v>
      </c>
    </row>
    <row r="84" spans="1:2" x14ac:dyDescent="0.3">
      <c r="A84" s="1">
        <v>45362</v>
      </c>
      <c r="B84">
        <v>8077</v>
      </c>
    </row>
    <row r="85" spans="1:2" x14ac:dyDescent="0.3">
      <c r="A85" s="1">
        <v>45324</v>
      </c>
      <c r="B85">
        <v>13856</v>
      </c>
    </row>
    <row r="86" spans="1:2" x14ac:dyDescent="0.3">
      <c r="A86" s="1">
        <v>45397</v>
      </c>
      <c r="B86">
        <v>13262</v>
      </c>
    </row>
    <row r="87" spans="1:2" x14ac:dyDescent="0.3">
      <c r="A87" s="1">
        <v>45536</v>
      </c>
      <c r="B87">
        <v>12026</v>
      </c>
    </row>
    <row r="88" spans="1:2" x14ac:dyDescent="0.3">
      <c r="A88" s="1">
        <v>45541</v>
      </c>
      <c r="B88">
        <v>9443</v>
      </c>
    </row>
    <row r="89" spans="1:2" x14ac:dyDescent="0.3">
      <c r="A89" s="1">
        <v>45464</v>
      </c>
      <c r="B89">
        <v>24229</v>
      </c>
    </row>
    <row r="90" spans="1:2" x14ac:dyDescent="0.3">
      <c r="A90" s="1">
        <v>45756</v>
      </c>
      <c r="B90">
        <v>19895</v>
      </c>
    </row>
    <row r="91" spans="1:2" x14ac:dyDescent="0.3">
      <c r="A91" s="1">
        <v>45361</v>
      </c>
      <c r="B91">
        <v>6454</v>
      </c>
    </row>
    <row r="92" spans="1:2" x14ac:dyDescent="0.3">
      <c r="A92" s="1">
        <v>45400</v>
      </c>
      <c r="B92">
        <v>11210</v>
      </c>
    </row>
    <row r="93" spans="1:2" x14ac:dyDescent="0.3">
      <c r="A93" s="1">
        <v>45421</v>
      </c>
      <c r="B93">
        <v>15911</v>
      </c>
    </row>
    <row r="94" spans="1:2" x14ac:dyDescent="0.3">
      <c r="A94" s="1">
        <v>45624</v>
      </c>
      <c r="B94">
        <v>21856</v>
      </c>
    </row>
    <row r="95" spans="1:2" x14ac:dyDescent="0.3">
      <c r="A95" s="1">
        <v>45721</v>
      </c>
      <c r="B95">
        <v>20859</v>
      </c>
    </row>
    <row r="96" spans="1:2" x14ac:dyDescent="0.3">
      <c r="A96" s="1">
        <v>45634</v>
      </c>
      <c r="B96">
        <v>18980</v>
      </c>
    </row>
    <row r="97" spans="1:2" x14ac:dyDescent="0.3">
      <c r="A97" s="1">
        <v>45684</v>
      </c>
      <c r="B97">
        <v>5998</v>
      </c>
    </row>
    <row r="98" spans="1:2" x14ac:dyDescent="0.3">
      <c r="A98" s="1">
        <v>45347</v>
      </c>
      <c r="B98">
        <v>10722</v>
      </c>
    </row>
    <row r="99" spans="1:2" x14ac:dyDescent="0.3">
      <c r="A99" s="1">
        <v>45330</v>
      </c>
      <c r="B99">
        <v>3839</v>
      </c>
    </row>
    <row r="100" spans="1:2" x14ac:dyDescent="0.3">
      <c r="A100" s="1">
        <v>45469</v>
      </c>
      <c r="B100">
        <v>22176</v>
      </c>
    </row>
    <row r="101" spans="1:2" x14ac:dyDescent="0.3">
      <c r="A101" s="1">
        <v>45298</v>
      </c>
      <c r="B101">
        <v>16562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189A-E725-4E87-BA24-F2146A353EC6}">
  <dimension ref="A1:I101"/>
  <sheetViews>
    <sheetView workbookViewId="0">
      <selection activeCell="F8" activeCellId="1" sqref="A2:C101 F8"/>
    </sheetView>
  </sheetViews>
  <sheetFormatPr defaultRowHeight="14.4" x14ac:dyDescent="0.3"/>
  <cols>
    <col min="1" max="1" width="17.109375" bestFit="1" customWidth="1"/>
    <col min="2" max="2" width="7.33203125" bestFit="1" customWidth="1"/>
    <col min="3" max="3" width="10.21875" bestFit="1" customWidth="1"/>
  </cols>
  <sheetData>
    <row r="1" spans="1:9" x14ac:dyDescent="0.3">
      <c r="A1" t="s">
        <v>3</v>
      </c>
      <c r="B1" t="s">
        <v>7</v>
      </c>
      <c r="C1" t="s">
        <v>8</v>
      </c>
    </row>
    <row r="2" spans="1:9" x14ac:dyDescent="0.3">
      <c r="A2" t="s">
        <v>11</v>
      </c>
      <c r="B2">
        <v>5072</v>
      </c>
      <c r="C2">
        <v>2</v>
      </c>
    </row>
    <row r="3" spans="1:9" x14ac:dyDescent="0.3">
      <c r="A3" t="s">
        <v>11</v>
      </c>
      <c r="B3">
        <v>3570</v>
      </c>
      <c r="C3">
        <v>4</v>
      </c>
    </row>
    <row r="4" spans="1:9" x14ac:dyDescent="0.3">
      <c r="A4" t="s">
        <v>21</v>
      </c>
      <c r="B4">
        <v>23962</v>
      </c>
      <c r="C4">
        <v>9</v>
      </c>
    </row>
    <row r="5" spans="1:9" x14ac:dyDescent="0.3">
      <c r="A5" t="s">
        <v>25</v>
      </c>
      <c r="B5">
        <v>712</v>
      </c>
      <c r="C5">
        <v>3</v>
      </c>
      <c r="I5">
        <v>21</v>
      </c>
    </row>
    <row r="6" spans="1:9" x14ac:dyDescent="0.3">
      <c r="A6" t="s">
        <v>25</v>
      </c>
      <c r="B6">
        <v>11529</v>
      </c>
      <c r="C6">
        <v>2</v>
      </c>
    </row>
    <row r="7" spans="1:9" x14ac:dyDescent="0.3">
      <c r="A7" t="s">
        <v>11</v>
      </c>
      <c r="B7">
        <v>20282</v>
      </c>
      <c r="C7">
        <v>5</v>
      </c>
      <c r="I7" t="s">
        <v>242</v>
      </c>
    </row>
    <row r="8" spans="1:9" x14ac:dyDescent="0.3">
      <c r="A8" t="s">
        <v>35</v>
      </c>
      <c r="B8">
        <v>12903</v>
      </c>
      <c r="C8">
        <v>2</v>
      </c>
    </row>
    <row r="9" spans="1:9" x14ac:dyDescent="0.3">
      <c r="A9" t="s">
        <v>38</v>
      </c>
      <c r="B9">
        <v>23587</v>
      </c>
      <c r="C9">
        <v>2</v>
      </c>
    </row>
    <row r="10" spans="1:9" x14ac:dyDescent="0.3">
      <c r="A10" t="s">
        <v>35</v>
      </c>
      <c r="B10">
        <v>3114</v>
      </c>
      <c r="C10">
        <v>4</v>
      </c>
    </row>
    <row r="11" spans="1:9" x14ac:dyDescent="0.3">
      <c r="A11" t="s">
        <v>11</v>
      </c>
      <c r="B11">
        <v>5829</v>
      </c>
      <c r="C11">
        <v>6</v>
      </c>
    </row>
    <row r="12" spans="1:9" x14ac:dyDescent="0.3">
      <c r="A12" t="s">
        <v>45</v>
      </c>
      <c r="B12">
        <v>20460</v>
      </c>
      <c r="C12">
        <v>3</v>
      </c>
    </row>
    <row r="13" spans="1:9" x14ac:dyDescent="0.3">
      <c r="A13" t="s">
        <v>21</v>
      </c>
      <c r="B13">
        <v>21471</v>
      </c>
      <c r="C13">
        <v>9</v>
      </c>
    </row>
    <row r="14" spans="1:9" x14ac:dyDescent="0.3">
      <c r="A14" t="s">
        <v>21</v>
      </c>
      <c r="B14">
        <v>8005</v>
      </c>
      <c r="C14">
        <v>1</v>
      </c>
    </row>
    <row r="15" spans="1:9" x14ac:dyDescent="0.3">
      <c r="A15" t="s">
        <v>45</v>
      </c>
      <c r="B15">
        <v>19085</v>
      </c>
      <c r="C15">
        <v>6</v>
      </c>
    </row>
    <row r="16" spans="1:9" x14ac:dyDescent="0.3">
      <c r="A16" t="s">
        <v>21</v>
      </c>
      <c r="B16">
        <v>5181</v>
      </c>
      <c r="C16">
        <v>5</v>
      </c>
    </row>
    <row r="17" spans="1:3" x14ac:dyDescent="0.3">
      <c r="A17" t="s">
        <v>53</v>
      </c>
      <c r="B17">
        <v>19621</v>
      </c>
      <c r="C17">
        <v>7</v>
      </c>
    </row>
    <row r="18" spans="1:3" x14ac:dyDescent="0.3">
      <c r="A18" t="s">
        <v>45</v>
      </c>
      <c r="B18">
        <v>3478</v>
      </c>
      <c r="C18">
        <v>1</v>
      </c>
    </row>
    <row r="19" spans="1:3" x14ac:dyDescent="0.3">
      <c r="A19" t="s">
        <v>11</v>
      </c>
      <c r="B19">
        <v>20043</v>
      </c>
      <c r="C19">
        <v>2</v>
      </c>
    </row>
    <row r="20" spans="1:3" x14ac:dyDescent="0.3">
      <c r="A20" t="s">
        <v>25</v>
      </c>
      <c r="B20">
        <v>18628</v>
      </c>
      <c r="C20">
        <v>1</v>
      </c>
    </row>
    <row r="21" spans="1:3" x14ac:dyDescent="0.3">
      <c r="A21" t="s">
        <v>11</v>
      </c>
      <c r="B21">
        <v>4155</v>
      </c>
      <c r="C21">
        <v>5</v>
      </c>
    </row>
    <row r="22" spans="1:3" x14ac:dyDescent="0.3">
      <c r="A22" t="s">
        <v>25</v>
      </c>
      <c r="B22">
        <v>16903</v>
      </c>
      <c r="C22">
        <v>3</v>
      </c>
    </row>
    <row r="23" spans="1:3" x14ac:dyDescent="0.3">
      <c r="A23" t="s">
        <v>11</v>
      </c>
      <c r="B23">
        <v>5508</v>
      </c>
      <c r="C23">
        <v>6</v>
      </c>
    </row>
    <row r="24" spans="1:3" x14ac:dyDescent="0.3">
      <c r="A24" t="s">
        <v>53</v>
      </c>
      <c r="B24">
        <v>16510</v>
      </c>
      <c r="C24">
        <v>1</v>
      </c>
    </row>
    <row r="25" spans="1:3" x14ac:dyDescent="0.3">
      <c r="A25" t="s">
        <v>11</v>
      </c>
      <c r="B25">
        <v>8392</v>
      </c>
      <c r="C25">
        <v>10</v>
      </c>
    </row>
    <row r="26" spans="1:3" x14ac:dyDescent="0.3">
      <c r="A26" t="s">
        <v>11</v>
      </c>
      <c r="B26">
        <v>17955</v>
      </c>
      <c r="C26">
        <v>3</v>
      </c>
    </row>
    <row r="27" spans="1:3" x14ac:dyDescent="0.3">
      <c r="A27" t="s">
        <v>53</v>
      </c>
      <c r="B27">
        <v>9185</v>
      </c>
      <c r="C27">
        <v>9</v>
      </c>
    </row>
    <row r="28" spans="1:3" x14ac:dyDescent="0.3">
      <c r="A28" t="s">
        <v>25</v>
      </c>
      <c r="B28">
        <v>13574</v>
      </c>
      <c r="C28">
        <v>6</v>
      </c>
    </row>
    <row r="29" spans="1:3" x14ac:dyDescent="0.3">
      <c r="A29" t="s">
        <v>69</v>
      </c>
      <c r="B29">
        <v>7862</v>
      </c>
      <c r="C29">
        <v>2</v>
      </c>
    </row>
    <row r="30" spans="1:3" x14ac:dyDescent="0.3">
      <c r="A30" t="s">
        <v>45</v>
      </c>
      <c r="B30">
        <v>735</v>
      </c>
      <c r="C30">
        <v>2</v>
      </c>
    </row>
    <row r="31" spans="1:3" x14ac:dyDescent="0.3">
      <c r="A31" t="s">
        <v>35</v>
      </c>
      <c r="B31">
        <v>11327</v>
      </c>
      <c r="C31">
        <v>2</v>
      </c>
    </row>
    <row r="32" spans="1:3" x14ac:dyDescent="0.3">
      <c r="A32" t="s">
        <v>21</v>
      </c>
      <c r="B32">
        <v>24202</v>
      </c>
      <c r="C32">
        <v>10</v>
      </c>
    </row>
    <row r="33" spans="1:3" x14ac:dyDescent="0.3">
      <c r="A33" t="s">
        <v>69</v>
      </c>
      <c r="B33">
        <v>6739</v>
      </c>
      <c r="C33">
        <v>2</v>
      </c>
    </row>
    <row r="34" spans="1:3" x14ac:dyDescent="0.3">
      <c r="A34" t="s">
        <v>11</v>
      </c>
      <c r="B34">
        <v>13970</v>
      </c>
      <c r="C34">
        <v>8</v>
      </c>
    </row>
    <row r="35" spans="1:3" x14ac:dyDescent="0.3">
      <c r="A35" t="s">
        <v>35</v>
      </c>
      <c r="B35">
        <v>24362</v>
      </c>
      <c r="C35">
        <v>6</v>
      </c>
    </row>
    <row r="36" spans="1:3" x14ac:dyDescent="0.3">
      <c r="A36" t="s">
        <v>11</v>
      </c>
      <c r="B36">
        <v>5093</v>
      </c>
      <c r="C36">
        <v>7</v>
      </c>
    </row>
    <row r="37" spans="1:3" x14ac:dyDescent="0.3">
      <c r="A37" t="s">
        <v>53</v>
      </c>
      <c r="B37">
        <v>15020</v>
      </c>
      <c r="C37">
        <v>9</v>
      </c>
    </row>
    <row r="38" spans="1:3" x14ac:dyDescent="0.3">
      <c r="A38" t="s">
        <v>11</v>
      </c>
      <c r="B38">
        <v>8245</v>
      </c>
      <c r="C38">
        <v>3</v>
      </c>
    </row>
    <row r="39" spans="1:3" x14ac:dyDescent="0.3">
      <c r="A39" t="s">
        <v>25</v>
      </c>
      <c r="B39">
        <v>2421</v>
      </c>
      <c r="C39">
        <v>3</v>
      </c>
    </row>
    <row r="40" spans="1:3" x14ac:dyDescent="0.3">
      <c r="A40" t="s">
        <v>25</v>
      </c>
      <c r="B40">
        <v>9847</v>
      </c>
      <c r="C40">
        <v>7</v>
      </c>
    </row>
    <row r="41" spans="1:3" x14ac:dyDescent="0.3">
      <c r="A41" t="s">
        <v>69</v>
      </c>
      <c r="B41">
        <v>2416</v>
      </c>
      <c r="C41">
        <v>10</v>
      </c>
    </row>
    <row r="42" spans="1:3" x14ac:dyDescent="0.3">
      <c r="A42" t="s">
        <v>35</v>
      </c>
      <c r="B42">
        <v>19642</v>
      </c>
      <c r="C42">
        <v>8</v>
      </c>
    </row>
    <row r="43" spans="1:3" x14ac:dyDescent="0.3">
      <c r="A43" t="s">
        <v>53</v>
      </c>
      <c r="B43">
        <v>2745</v>
      </c>
      <c r="C43">
        <v>10</v>
      </c>
    </row>
    <row r="44" spans="1:3" x14ac:dyDescent="0.3">
      <c r="A44" t="s">
        <v>11</v>
      </c>
      <c r="B44">
        <v>19167</v>
      </c>
      <c r="C44">
        <v>4</v>
      </c>
    </row>
    <row r="45" spans="1:3" x14ac:dyDescent="0.3">
      <c r="A45" t="s">
        <v>35</v>
      </c>
      <c r="B45">
        <v>9044</v>
      </c>
      <c r="C45">
        <v>4</v>
      </c>
    </row>
    <row r="46" spans="1:3" x14ac:dyDescent="0.3">
      <c r="A46" t="s">
        <v>45</v>
      </c>
      <c r="B46">
        <v>22509</v>
      </c>
      <c r="C46">
        <v>5</v>
      </c>
    </row>
    <row r="47" spans="1:3" x14ac:dyDescent="0.3">
      <c r="A47" t="s">
        <v>69</v>
      </c>
      <c r="B47">
        <v>20854</v>
      </c>
      <c r="C47">
        <v>10</v>
      </c>
    </row>
    <row r="48" spans="1:3" x14ac:dyDescent="0.3">
      <c r="A48" t="s">
        <v>11</v>
      </c>
      <c r="B48">
        <v>4840</v>
      </c>
      <c r="C48">
        <v>6</v>
      </c>
    </row>
    <row r="49" spans="1:3" x14ac:dyDescent="0.3">
      <c r="A49" t="s">
        <v>11</v>
      </c>
      <c r="B49">
        <v>14858</v>
      </c>
      <c r="C49">
        <v>9</v>
      </c>
    </row>
    <row r="50" spans="1:3" x14ac:dyDescent="0.3">
      <c r="A50" t="s">
        <v>38</v>
      </c>
      <c r="B50">
        <v>22237</v>
      </c>
      <c r="C50">
        <v>2</v>
      </c>
    </row>
    <row r="51" spans="1:3" x14ac:dyDescent="0.3">
      <c r="A51" t="s">
        <v>53</v>
      </c>
      <c r="B51">
        <v>24827</v>
      </c>
      <c r="C51">
        <v>9</v>
      </c>
    </row>
    <row r="52" spans="1:3" x14ac:dyDescent="0.3">
      <c r="A52" t="s">
        <v>53</v>
      </c>
      <c r="B52">
        <v>24014</v>
      </c>
      <c r="C52">
        <v>6</v>
      </c>
    </row>
    <row r="53" spans="1:3" x14ac:dyDescent="0.3">
      <c r="A53" t="s">
        <v>21</v>
      </c>
      <c r="B53">
        <v>8728</v>
      </c>
      <c r="C53">
        <v>1</v>
      </c>
    </row>
    <row r="54" spans="1:3" x14ac:dyDescent="0.3">
      <c r="A54" t="s">
        <v>11</v>
      </c>
      <c r="B54">
        <v>1944</v>
      </c>
      <c r="C54">
        <v>1</v>
      </c>
    </row>
    <row r="55" spans="1:3" x14ac:dyDescent="0.3">
      <c r="A55" t="s">
        <v>45</v>
      </c>
      <c r="B55">
        <v>18577</v>
      </c>
      <c r="C55">
        <v>7</v>
      </c>
    </row>
    <row r="56" spans="1:3" x14ac:dyDescent="0.3">
      <c r="A56" t="s">
        <v>35</v>
      </c>
      <c r="B56">
        <v>18377</v>
      </c>
      <c r="C56">
        <v>1</v>
      </c>
    </row>
    <row r="57" spans="1:3" x14ac:dyDescent="0.3">
      <c r="A57" t="s">
        <v>45</v>
      </c>
      <c r="B57">
        <v>1870</v>
      </c>
      <c r="C57">
        <v>5</v>
      </c>
    </row>
    <row r="58" spans="1:3" x14ac:dyDescent="0.3">
      <c r="A58" t="s">
        <v>45</v>
      </c>
      <c r="B58">
        <v>22354</v>
      </c>
      <c r="C58">
        <v>2</v>
      </c>
    </row>
    <row r="59" spans="1:3" x14ac:dyDescent="0.3">
      <c r="A59" t="s">
        <v>45</v>
      </c>
      <c r="B59">
        <v>8257</v>
      </c>
      <c r="C59">
        <v>3</v>
      </c>
    </row>
    <row r="60" spans="1:3" x14ac:dyDescent="0.3">
      <c r="A60" t="s">
        <v>53</v>
      </c>
      <c r="B60">
        <v>13991</v>
      </c>
      <c r="C60">
        <v>4</v>
      </c>
    </row>
    <row r="61" spans="1:3" x14ac:dyDescent="0.3">
      <c r="A61" t="s">
        <v>38</v>
      </c>
      <c r="B61">
        <v>15923</v>
      </c>
      <c r="C61">
        <v>4</v>
      </c>
    </row>
    <row r="62" spans="1:3" x14ac:dyDescent="0.3">
      <c r="A62" t="s">
        <v>21</v>
      </c>
      <c r="B62">
        <v>7804</v>
      </c>
      <c r="C62">
        <v>1</v>
      </c>
    </row>
    <row r="63" spans="1:3" x14ac:dyDescent="0.3">
      <c r="A63" t="s">
        <v>21</v>
      </c>
      <c r="B63">
        <v>9646</v>
      </c>
      <c r="C63">
        <v>6</v>
      </c>
    </row>
    <row r="64" spans="1:3" x14ac:dyDescent="0.3">
      <c r="A64" t="s">
        <v>25</v>
      </c>
      <c r="B64">
        <v>4279</v>
      </c>
      <c r="C64">
        <v>5</v>
      </c>
    </row>
    <row r="65" spans="1:3" x14ac:dyDescent="0.3">
      <c r="A65" t="s">
        <v>53</v>
      </c>
      <c r="B65">
        <v>20048</v>
      </c>
      <c r="C65">
        <v>7</v>
      </c>
    </row>
    <row r="66" spans="1:3" x14ac:dyDescent="0.3">
      <c r="A66" t="s">
        <v>45</v>
      </c>
      <c r="B66">
        <v>13122</v>
      </c>
      <c r="C66">
        <v>10</v>
      </c>
    </row>
    <row r="67" spans="1:3" x14ac:dyDescent="0.3">
      <c r="A67" t="s">
        <v>21</v>
      </c>
      <c r="B67">
        <v>555</v>
      </c>
      <c r="C67">
        <v>9</v>
      </c>
    </row>
    <row r="68" spans="1:3" x14ac:dyDescent="0.3">
      <c r="A68" t="s">
        <v>21</v>
      </c>
      <c r="B68">
        <v>20919</v>
      </c>
      <c r="C68">
        <v>6</v>
      </c>
    </row>
    <row r="69" spans="1:3" x14ac:dyDescent="0.3">
      <c r="A69" t="s">
        <v>11</v>
      </c>
      <c r="B69">
        <v>22352</v>
      </c>
      <c r="C69">
        <v>7</v>
      </c>
    </row>
    <row r="70" spans="1:3" x14ac:dyDescent="0.3">
      <c r="A70" t="s">
        <v>45</v>
      </c>
      <c r="B70">
        <v>6786</v>
      </c>
      <c r="C70">
        <v>7</v>
      </c>
    </row>
    <row r="71" spans="1:3" x14ac:dyDescent="0.3">
      <c r="A71" t="s">
        <v>25</v>
      </c>
      <c r="B71">
        <v>13806</v>
      </c>
      <c r="C71">
        <v>9</v>
      </c>
    </row>
    <row r="72" spans="1:3" x14ac:dyDescent="0.3">
      <c r="A72" t="s">
        <v>35</v>
      </c>
      <c r="B72">
        <v>19504</v>
      </c>
      <c r="C72">
        <v>10</v>
      </c>
    </row>
    <row r="73" spans="1:3" x14ac:dyDescent="0.3">
      <c r="A73" t="s">
        <v>45</v>
      </c>
      <c r="B73">
        <v>17250</v>
      </c>
      <c r="C73">
        <v>8</v>
      </c>
    </row>
    <row r="74" spans="1:3" x14ac:dyDescent="0.3">
      <c r="A74" t="s">
        <v>53</v>
      </c>
      <c r="B74">
        <v>3560</v>
      </c>
      <c r="C74">
        <v>4</v>
      </c>
    </row>
    <row r="75" spans="1:3" x14ac:dyDescent="0.3">
      <c r="A75" t="s">
        <v>38</v>
      </c>
      <c r="B75">
        <v>2014</v>
      </c>
      <c r="C75">
        <v>4</v>
      </c>
    </row>
    <row r="76" spans="1:3" x14ac:dyDescent="0.3">
      <c r="A76" t="s">
        <v>69</v>
      </c>
      <c r="B76">
        <v>21136</v>
      </c>
      <c r="C76">
        <v>10</v>
      </c>
    </row>
    <row r="77" spans="1:3" x14ac:dyDescent="0.3">
      <c r="A77" t="s">
        <v>21</v>
      </c>
      <c r="B77">
        <v>8494</v>
      </c>
      <c r="C77">
        <v>3</v>
      </c>
    </row>
    <row r="78" spans="1:3" x14ac:dyDescent="0.3">
      <c r="A78" t="s">
        <v>35</v>
      </c>
      <c r="B78">
        <v>23303</v>
      </c>
      <c r="C78">
        <v>9</v>
      </c>
    </row>
    <row r="79" spans="1:3" x14ac:dyDescent="0.3">
      <c r="A79" t="s">
        <v>69</v>
      </c>
      <c r="B79">
        <v>15457</v>
      </c>
      <c r="C79">
        <v>3</v>
      </c>
    </row>
    <row r="80" spans="1:3" x14ac:dyDescent="0.3">
      <c r="A80" t="s">
        <v>69</v>
      </c>
      <c r="B80">
        <v>20575</v>
      </c>
      <c r="C80">
        <v>9</v>
      </c>
    </row>
    <row r="81" spans="1:3" x14ac:dyDescent="0.3">
      <c r="A81" t="s">
        <v>25</v>
      </c>
      <c r="B81">
        <v>24868</v>
      </c>
      <c r="C81">
        <v>8</v>
      </c>
    </row>
    <row r="82" spans="1:3" x14ac:dyDescent="0.3">
      <c r="A82" t="s">
        <v>69</v>
      </c>
      <c r="B82">
        <v>17581</v>
      </c>
      <c r="C82">
        <v>8</v>
      </c>
    </row>
    <row r="83" spans="1:3" x14ac:dyDescent="0.3">
      <c r="A83" t="s">
        <v>21</v>
      </c>
      <c r="B83">
        <v>8183</v>
      </c>
      <c r="C83">
        <v>5</v>
      </c>
    </row>
    <row r="84" spans="1:3" x14ac:dyDescent="0.3">
      <c r="A84" t="s">
        <v>45</v>
      </c>
      <c r="B84">
        <v>8077</v>
      </c>
      <c r="C84">
        <v>7</v>
      </c>
    </row>
    <row r="85" spans="1:3" x14ac:dyDescent="0.3">
      <c r="A85" t="s">
        <v>53</v>
      </c>
      <c r="B85">
        <v>13856</v>
      </c>
      <c r="C85">
        <v>6</v>
      </c>
    </row>
    <row r="86" spans="1:3" x14ac:dyDescent="0.3">
      <c r="A86" t="s">
        <v>69</v>
      </c>
      <c r="B86">
        <v>13262</v>
      </c>
      <c r="C86">
        <v>10</v>
      </c>
    </row>
    <row r="87" spans="1:3" x14ac:dyDescent="0.3">
      <c r="A87" t="s">
        <v>35</v>
      </c>
      <c r="B87">
        <v>12026</v>
      </c>
      <c r="C87">
        <v>5</v>
      </c>
    </row>
    <row r="88" spans="1:3" x14ac:dyDescent="0.3">
      <c r="A88" t="s">
        <v>25</v>
      </c>
      <c r="B88">
        <v>9443</v>
      </c>
      <c r="C88">
        <v>7</v>
      </c>
    </row>
    <row r="89" spans="1:3" x14ac:dyDescent="0.3">
      <c r="A89" t="s">
        <v>69</v>
      </c>
      <c r="B89">
        <v>24229</v>
      </c>
      <c r="C89">
        <v>3</v>
      </c>
    </row>
    <row r="90" spans="1:3" x14ac:dyDescent="0.3">
      <c r="A90" t="s">
        <v>69</v>
      </c>
      <c r="B90">
        <v>19895</v>
      </c>
      <c r="C90">
        <v>10</v>
      </c>
    </row>
    <row r="91" spans="1:3" x14ac:dyDescent="0.3">
      <c r="A91" t="s">
        <v>35</v>
      </c>
      <c r="B91">
        <v>6454</v>
      </c>
      <c r="C91">
        <v>1</v>
      </c>
    </row>
    <row r="92" spans="1:3" x14ac:dyDescent="0.3">
      <c r="A92" t="s">
        <v>38</v>
      </c>
      <c r="B92">
        <v>11210</v>
      </c>
      <c r="C92">
        <v>6</v>
      </c>
    </row>
    <row r="93" spans="1:3" x14ac:dyDescent="0.3">
      <c r="A93" t="s">
        <v>25</v>
      </c>
      <c r="B93">
        <v>15911</v>
      </c>
      <c r="C93">
        <v>1</v>
      </c>
    </row>
    <row r="94" spans="1:3" x14ac:dyDescent="0.3">
      <c r="A94" t="s">
        <v>35</v>
      </c>
      <c r="B94">
        <v>21856</v>
      </c>
      <c r="C94">
        <v>1</v>
      </c>
    </row>
    <row r="95" spans="1:3" x14ac:dyDescent="0.3">
      <c r="A95" t="s">
        <v>35</v>
      </c>
      <c r="B95">
        <v>20859</v>
      </c>
      <c r="C95">
        <v>3</v>
      </c>
    </row>
    <row r="96" spans="1:3" x14ac:dyDescent="0.3">
      <c r="A96" t="s">
        <v>21</v>
      </c>
      <c r="B96">
        <v>18980</v>
      </c>
      <c r="C96">
        <v>4</v>
      </c>
    </row>
    <row r="97" spans="1:3" x14ac:dyDescent="0.3">
      <c r="A97" t="s">
        <v>69</v>
      </c>
      <c r="B97">
        <v>5998</v>
      </c>
      <c r="C97">
        <v>10</v>
      </c>
    </row>
    <row r="98" spans="1:3" x14ac:dyDescent="0.3">
      <c r="A98" t="s">
        <v>11</v>
      </c>
      <c r="B98">
        <v>10722</v>
      </c>
      <c r="C98">
        <v>10</v>
      </c>
    </row>
    <row r="99" spans="1:3" x14ac:dyDescent="0.3">
      <c r="A99" t="s">
        <v>25</v>
      </c>
      <c r="B99">
        <v>3839</v>
      </c>
      <c r="C99">
        <v>5</v>
      </c>
    </row>
    <row r="100" spans="1:3" x14ac:dyDescent="0.3">
      <c r="A100" t="s">
        <v>11</v>
      </c>
      <c r="B100">
        <v>22176</v>
      </c>
      <c r="C100">
        <v>6</v>
      </c>
    </row>
    <row r="101" spans="1:3" x14ac:dyDescent="0.3">
      <c r="A101" t="s">
        <v>11</v>
      </c>
      <c r="B101">
        <v>16562</v>
      </c>
      <c r="C101">
        <v>2</v>
      </c>
    </row>
  </sheetData>
  <autoFilter ref="A1:C1" xr:uid="{EDB4189A-E725-4E87-BA24-F2146A353EC6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157D-8B27-4D65-98C4-51620B7A57CA}">
  <sheetPr filterMode="1"/>
  <dimension ref="A1:I101"/>
  <sheetViews>
    <sheetView workbookViewId="0">
      <selection activeCell="A2" sqref="A2"/>
    </sheetView>
  </sheetViews>
  <sheetFormatPr defaultRowHeight="14.4" x14ac:dyDescent="0.3"/>
  <cols>
    <col min="1" max="1" width="13.109375" bestFit="1" customWidth="1"/>
    <col min="2" max="2" width="10.77734375" bestFit="1" customWidth="1"/>
    <col min="3" max="3" width="8.77734375" bestFit="1" customWidth="1"/>
    <col min="4" max="4" width="7.33203125" bestFit="1" customWidth="1"/>
  </cols>
  <sheetData>
    <row r="1" spans="1:9" x14ac:dyDescent="0.3">
      <c r="A1" t="s">
        <v>4</v>
      </c>
      <c r="B1" t="s">
        <v>5</v>
      </c>
      <c r="C1" t="s">
        <v>6</v>
      </c>
      <c r="D1" t="s">
        <v>7</v>
      </c>
    </row>
    <row r="2" spans="1:9" x14ac:dyDescent="0.3">
      <c r="A2" t="s">
        <v>12</v>
      </c>
      <c r="B2" t="s">
        <v>13</v>
      </c>
      <c r="C2" t="s">
        <v>18</v>
      </c>
      <c r="D2">
        <v>20460</v>
      </c>
    </row>
    <row r="3" spans="1:9" x14ac:dyDescent="0.3">
      <c r="A3" t="s">
        <v>12</v>
      </c>
      <c r="B3" t="s">
        <v>26</v>
      </c>
      <c r="C3" t="s">
        <v>18</v>
      </c>
      <c r="D3">
        <v>17955</v>
      </c>
    </row>
    <row r="4" spans="1:9" x14ac:dyDescent="0.3">
      <c r="A4" t="s">
        <v>12</v>
      </c>
      <c r="B4" t="s">
        <v>72</v>
      </c>
      <c r="C4" t="s">
        <v>18</v>
      </c>
      <c r="D4">
        <v>11327</v>
      </c>
      <c r="I4">
        <v>22</v>
      </c>
    </row>
    <row r="5" spans="1:9" x14ac:dyDescent="0.3">
      <c r="A5" t="s">
        <v>12</v>
      </c>
      <c r="B5" t="s">
        <v>72</v>
      </c>
      <c r="C5" t="s">
        <v>18</v>
      </c>
      <c r="D5">
        <v>8245</v>
      </c>
    </row>
    <row r="6" spans="1:9" x14ac:dyDescent="0.3">
      <c r="A6" t="s">
        <v>12</v>
      </c>
      <c r="B6" t="s">
        <v>72</v>
      </c>
      <c r="C6" t="s">
        <v>18</v>
      </c>
      <c r="D6">
        <v>15923</v>
      </c>
      <c r="I6" t="s">
        <v>243</v>
      </c>
    </row>
    <row r="7" spans="1:9" x14ac:dyDescent="0.3">
      <c r="A7" t="s">
        <v>12</v>
      </c>
      <c r="B7" t="s">
        <v>55</v>
      </c>
      <c r="C7" t="s">
        <v>18</v>
      </c>
      <c r="D7">
        <v>2014</v>
      </c>
    </row>
    <row r="8" spans="1:9" x14ac:dyDescent="0.3">
      <c r="A8" t="s">
        <v>12</v>
      </c>
      <c r="B8" t="s">
        <v>55</v>
      </c>
      <c r="C8" t="s">
        <v>18</v>
      </c>
      <c r="D8">
        <v>15457</v>
      </c>
    </row>
    <row r="9" spans="1:9" x14ac:dyDescent="0.3">
      <c r="A9" t="s">
        <v>12</v>
      </c>
      <c r="B9" t="s">
        <v>55</v>
      </c>
      <c r="C9" t="s">
        <v>18</v>
      </c>
      <c r="D9">
        <v>20859</v>
      </c>
    </row>
    <row r="10" spans="1:9" x14ac:dyDescent="0.3">
      <c r="A10" t="s">
        <v>12</v>
      </c>
      <c r="B10" t="s">
        <v>26</v>
      </c>
      <c r="C10" t="s">
        <v>18</v>
      </c>
      <c r="D10">
        <v>18980</v>
      </c>
    </row>
    <row r="11" spans="1:9" x14ac:dyDescent="0.3">
      <c r="A11" t="s">
        <v>12</v>
      </c>
      <c r="B11" t="s">
        <v>13</v>
      </c>
      <c r="C11" t="s">
        <v>18</v>
      </c>
      <c r="D11">
        <v>10722</v>
      </c>
    </row>
    <row r="12" spans="1:9" hidden="1" x14ac:dyDescent="0.3">
      <c r="A12" t="s">
        <v>12</v>
      </c>
      <c r="B12" t="s">
        <v>26</v>
      </c>
      <c r="C12" t="s">
        <v>27</v>
      </c>
      <c r="D12">
        <v>712</v>
      </c>
    </row>
    <row r="13" spans="1:9" hidden="1" x14ac:dyDescent="0.3">
      <c r="A13" t="s">
        <v>12</v>
      </c>
      <c r="B13" t="s">
        <v>26</v>
      </c>
      <c r="C13" t="s">
        <v>27</v>
      </c>
      <c r="D13">
        <v>21471</v>
      </c>
    </row>
    <row r="14" spans="1:9" hidden="1" x14ac:dyDescent="0.3">
      <c r="A14" t="s">
        <v>12</v>
      </c>
      <c r="B14" t="s">
        <v>26</v>
      </c>
      <c r="C14" t="s">
        <v>27</v>
      </c>
      <c r="D14">
        <v>16903</v>
      </c>
    </row>
    <row r="15" spans="1:9" hidden="1" x14ac:dyDescent="0.3">
      <c r="A15" t="s">
        <v>12</v>
      </c>
      <c r="B15" t="s">
        <v>55</v>
      </c>
      <c r="C15" t="s">
        <v>27</v>
      </c>
      <c r="D15">
        <v>13574</v>
      </c>
    </row>
    <row r="16" spans="1:9" hidden="1" x14ac:dyDescent="0.3">
      <c r="A16" t="s">
        <v>12</v>
      </c>
      <c r="B16" t="s">
        <v>55</v>
      </c>
      <c r="C16" t="s">
        <v>27</v>
      </c>
      <c r="D16">
        <v>4840</v>
      </c>
    </row>
    <row r="17" spans="1:4" hidden="1" x14ac:dyDescent="0.3">
      <c r="A17" t="s">
        <v>12</v>
      </c>
      <c r="B17" t="s">
        <v>13</v>
      </c>
      <c r="C17" t="s">
        <v>14</v>
      </c>
      <c r="D17">
        <v>5072</v>
      </c>
    </row>
    <row r="18" spans="1:4" hidden="1" x14ac:dyDescent="0.3">
      <c r="A18" t="s">
        <v>12</v>
      </c>
      <c r="B18" t="s">
        <v>55</v>
      </c>
      <c r="C18" t="s">
        <v>14</v>
      </c>
      <c r="D18">
        <v>735</v>
      </c>
    </row>
    <row r="19" spans="1:4" hidden="1" x14ac:dyDescent="0.3">
      <c r="A19" t="s">
        <v>12</v>
      </c>
      <c r="B19" t="s">
        <v>55</v>
      </c>
      <c r="C19" t="s">
        <v>14</v>
      </c>
      <c r="D19">
        <v>2416</v>
      </c>
    </row>
    <row r="20" spans="1:4" hidden="1" x14ac:dyDescent="0.3">
      <c r="A20" t="s">
        <v>12</v>
      </c>
      <c r="B20" t="s">
        <v>72</v>
      </c>
      <c r="C20" t="s">
        <v>14</v>
      </c>
      <c r="D20">
        <v>2745</v>
      </c>
    </row>
    <row r="21" spans="1:4" hidden="1" x14ac:dyDescent="0.3">
      <c r="A21" t="s">
        <v>12</v>
      </c>
      <c r="B21" t="s">
        <v>13</v>
      </c>
      <c r="C21" t="s">
        <v>14</v>
      </c>
      <c r="D21">
        <v>22509</v>
      </c>
    </row>
    <row r="22" spans="1:4" hidden="1" x14ac:dyDescent="0.3">
      <c r="A22" t="s">
        <v>12</v>
      </c>
      <c r="B22" t="s">
        <v>13</v>
      </c>
      <c r="C22" t="s">
        <v>14</v>
      </c>
      <c r="D22">
        <v>14858</v>
      </c>
    </row>
    <row r="23" spans="1:4" hidden="1" x14ac:dyDescent="0.3">
      <c r="A23" t="s">
        <v>12</v>
      </c>
      <c r="B23" t="s">
        <v>72</v>
      </c>
      <c r="C23" t="s">
        <v>14</v>
      </c>
      <c r="D23">
        <v>18377</v>
      </c>
    </row>
    <row r="24" spans="1:4" hidden="1" x14ac:dyDescent="0.3">
      <c r="A24" t="s">
        <v>12</v>
      </c>
      <c r="B24" t="s">
        <v>13</v>
      </c>
      <c r="C24" t="s">
        <v>14</v>
      </c>
      <c r="D24">
        <v>22354</v>
      </c>
    </row>
    <row r="25" spans="1:4" hidden="1" x14ac:dyDescent="0.3">
      <c r="A25" t="s">
        <v>12</v>
      </c>
      <c r="B25" t="s">
        <v>26</v>
      </c>
      <c r="C25" t="s">
        <v>14</v>
      </c>
      <c r="D25">
        <v>23303</v>
      </c>
    </row>
    <row r="26" spans="1:4" hidden="1" x14ac:dyDescent="0.3">
      <c r="A26" t="s">
        <v>12</v>
      </c>
      <c r="B26" t="s">
        <v>13</v>
      </c>
      <c r="C26" t="s">
        <v>50</v>
      </c>
      <c r="D26">
        <v>19621</v>
      </c>
    </row>
    <row r="27" spans="1:4" hidden="1" x14ac:dyDescent="0.3">
      <c r="A27" t="s">
        <v>12</v>
      </c>
      <c r="B27" t="s">
        <v>55</v>
      </c>
      <c r="C27" t="s">
        <v>50</v>
      </c>
      <c r="D27">
        <v>3478</v>
      </c>
    </row>
    <row r="28" spans="1:4" hidden="1" x14ac:dyDescent="0.3">
      <c r="A28" t="s">
        <v>12</v>
      </c>
      <c r="B28" t="s">
        <v>55</v>
      </c>
      <c r="C28" t="s">
        <v>50</v>
      </c>
      <c r="D28">
        <v>20043</v>
      </c>
    </row>
    <row r="29" spans="1:4" hidden="1" x14ac:dyDescent="0.3">
      <c r="A29" t="s">
        <v>12</v>
      </c>
      <c r="B29" t="s">
        <v>26</v>
      </c>
      <c r="C29" t="s">
        <v>50</v>
      </c>
      <c r="D29">
        <v>6739</v>
      </c>
    </row>
    <row r="30" spans="1:4" hidden="1" x14ac:dyDescent="0.3">
      <c r="A30" t="s">
        <v>12</v>
      </c>
      <c r="B30" t="s">
        <v>55</v>
      </c>
      <c r="C30" t="s">
        <v>50</v>
      </c>
      <c r="D30">
        <v>5093</v>
      </c>
    </row>
    <row r="31" spans="1:4" hidden="1" x14ac:dyDescent="0.3">
      <c r="A31" t="s">
        <v>12</v>
      </c>
      <c r="B31" t="s">
        <v>26</v>
      </c>
      <c r="C31" t="s">
        <v>50</v>
      </c>
      <c r="D31">
        <v>9847</v>
      </c>
    </row>
    <row r="32" spans="1:4" hidden="1" x14ac:dyDescent="0.3">
      <c r="A32" t="s">
        <v>12</v>
      </c>
      <c r="B32" t="s">
        <v>13</v>
      </c>
      <c r="C32" t="s">
        <v>50</v>
      </c>
      <c r="D32">
        <v>18577</v>
      </c>
    </row>
    <row r="33" spans="1:4" hidden="1" x14ac:dyDescent="0.3">
      <c r="A33" t="s">
        <v>12</v>
      </c>
      <c r="B33" t="s">
        <v>26</v>
      </c>
      <c r="C33" t="s">
        <v>50</v>
      </c>
      <c r="D33">
        <v>24229</v>
      </c>
    </row>
    <row r="34" spans="1:4" hidden="1" x14ac:dyDescent="0.3">
      <c r="A34" t="s">
        <v>12</v>
      </c>
      <c r="B34" t="s">
        <v>72</v>
      </c>
      <c r="C34" t="s">
        <v>50</v>
      </c>
      <c r="D34">
        <v>19895</v>
      </c>
    </row>
    <row r="35" spans="1:4" hidden="1" x14ac:dyDescent="0.3">
      <c r="A35" t="s">
        <v>12</v>
      </c>
      <c r="B35" t="s">
        <v>26</v>
      </c>
      <c r="C35" t="s">
        <v>50</v>
      </c>
      <c r="D35">
        <v>6454</v>
      </c>
    </row>
    <row r="36" spans="1:4" hidden="1" x14ac:dyDescent="0.3">
      <c r="A36" t="s">
        <v>29</v>
      </c>
      <c r="B36" t="s">
        <v>30</v>
      </c>
      <c r="C36" t="s">
        <v>18</v>
      </c>
      <c r="D36">
        <v>8392</v>
      </c>
    </row>
    <row r="37" spans="1:4" hidden="1" x14ac:dyDescent="0.3">
      <c r="A37" t="s">
        <v>29</v>
      </c>
      <c r="B37" t="s">
        <v>58</v>
      </c>
      <c r="C37" t="s">
        <v>18</v>
      </c>
      <c r="D37">
        <v>15020</v>
      </c>
    </row>
    <row r="38" spans="1:4" hidden="1" x14ac:dyDescent="0.3">
      <c r="A38" t="s">
        <v>29</v>
      </c>
      <c r="B38" t="s">
        <v>32</v>
      </c>
      <c r="C38" t="s">
        <v>18</v>
      </c>
      <c r="D38">
        <v>24827</v>
      </c>
    </row>
    <row r="39" spans="1:4" hidden="1" x14ac:dyDescent="0.3">
      <c r="A39" t="s">
        <v>29</v>
      </c>
      <c r="B39" t="s">
        <v>30</v>
      </c>
      <c r="C39" t="s">
        <v>18</v>
      </c>
      <c r="D39">
        <v>9646</v>
      </c>
    </row>
    <row r="40" spans="1:4" hidden="1" x14ac:dyDescent="0.3">
      <c r="A40" t="s">
        <v>29</v>
      </c>
      <c r="B40" t="s">
        <v>58</v>
      </c>
      <c r="C40" t="s">
        <v>18</v>
      </c>
      <c r="D40">
        <v>15911</v>
      </c>
    </row>
    <row r="41" spans="1:4" hidden="1" x14ac:dyDescent="0.3">
      <c r="A41" t="s">
        <v>29</v>
      </c>
      <c r="B41" t="s">
        <v>124</v>
      </c>
      <c r="C41" t="s">
        <v>18</v>
      </c>
      <c r="D41">
        <v>21856</v>
      </c>
    </row>
    <row r="42" spans="1:4" hidden="1" x14ac:dyDescent="0.3">
      <c r="A42" t="s">
        <v>29</v>
      </c>
      <c r="B42" t="s">
        <v>32</v>
      </c>
      <c r="C42" t="s">
        <v>27</v>
      </c>
      <c r="D42">
        <v>20282</v>
      </c>
    </row>
    <row r="43" spans="1:4" hidden="1" x14ac:dyDescent="0.3">
      <c r="A43" t="s">
        <v>29</v>
      </c>
      <c r="B43" t="s">
        <v>30</v>
      </c>
      <c r="C43" t="s">
        <v>27</v>
      </c>
      <c r="D43">
        <v>5829</v>
      </c>
    </row>
    <row r="44" spans="1:4" hidden="1" x14ac:dyDescent="0.3">
      <c r="A44" t="s">
        <v>29</v>
      </c>
      <c r="B44" t="s">
        <v>58</v>
      </c>
      <c r="C44" t="s">
        <v>27</v>
      </c>
      <c r="D44">
        <v>18628</v>
      </c>
    </row>
    <row r="45" spans="1:4" hidden="1" x14ac:dyDescent="0.3">
      <c r="A45" t="s">
        <v>29</v>
      </c>
      <c r="B45" t="s">
        <v>32</v>
      </c>
      <c r="C45" t="s">
        <v>27</v>
      </c>
      <c r="D45">
        <v>13991</v>
      </c>
    </row>
    <row r="46" spans="1:4" hidden="1" x14ac:dyDescent="0.3">
      <c r="A46" t="s">
        <v>29</v>
      </c>
      <c r="B46" t="s">
        <v>58</v>
      </c>
      <c r="C46" t="s">
        <v>27</v>
      </c>
      <c r="D46">
        <v>20919</v>
      </c>
    </row>
    <row r="47" spans="1:4" hidden="1" x14ac:dyDescent="0.3">
      <c r="A47" t="s">
        <v>29</v>
      </c>
      <c r="B47" t="s">
        <v>124</v>
      </c>
      <c r="C47" t="s">
        <v>27</v>
      </c>
      <c r="D47">
        <v>17581</v>
      </c>
    </row>
    <row r="48" spans="1:4" hidden="1" x14ac:dyDescent="0.3">
      <c r="A48" t="s">
        <v>29</v>
      </c>
      <c r="B48" t="s">
        <v>58</v>
      </c>
      <c r="C48" t="s">
        <v>27</v>
      </c>
      <c r="D48">
        <v>8183</v>
      </c>
    </row>
    <row r="49" spans="1:4" hidden="1" x14ac:dyDescent="0.3">
      <c r="A49" t="s">
        <v>29</v>
      </c>
      <c r="B49" t="s">
        <v>30</v>
      </c>
      <c r="C49" t="s">
        <v>14</v>
      </c>
      <c r="D49">
        <v>11529</v>
      </c>
    </row>
    <row r="50" spans="1:4" hidden="1" x14ac:dyDescent="0.3">
      <c r="A50" t="s">
        <v>29</v>
      </c>
      <c r="B50" t="s">
        <v>30</v>
      </c>
      <c r="C50" t="s">
        <v>14</v>
      </c>
      <c r="D50">
        <v>19085</v>
      </c>
    </row>
    <row r="51" spans="1:4" hidden="1" x14ac:dyDescent="0.3">
      <c r="A51" t="s">
        <v>29</v>
      </c>
      <c r="B51" t="s">
        <v>58</v>
      </c>
      <c r="C51" t="s">
        <v>14</v>
      </c>
      <c r="D51">
        <v>24202</v>
      </c>
    </row>
    <row r="52" spans="1:4" hidden="1" x14ac:dyDescent="0.3">
      <c r="A52" t="s">
        <v>29</v>
      </c>
      <c r="B52" t="s">
        <v>30</v>
      </c>
      <c r="C52" t="s">
        <v>14</v>
      </c>
      <c r="D52">
        <v>24014</v>
      </c>
    </row>
    <row r="53" spans="1:4" hidden="1" x14ac:dyDescent="0.3">
      <c r="A53" t="s">
        <v>29</v>
      </c>
      <c r="B53" t="s">
        <v>30</v>
      </c>
      <c r="C53" t="s">
        <v>14</v>
      </c>
      <c r="D53">
        <v>7804</v>
      </c>
    </row>
    <row r="54" spans="1:4" hidden="1" x14ac:dyDescent="0.3">
      <c r="A54" t="s">
        <v>29</v>
      </c>
      <c r="B54" t="s">
        <v>30</v>
      </c>
      <c r="C54" t="s">
        <v>14</v>
      </c>
      <c r="D54">
        <v>6786</v>
      </c>
    </row>
    <row r="55" spans="1:4" hidden="1" x14ac:dyDescent="0.3">
      <c r="A55" t="s">
        <v>29</v>
      </c>
      <c r="B55" t="s">
        <v>58</v>
      </c>
      <c r="C55" t="s">
        <v>14</v>
      </c>
      <c r="D55">
        <v>17250</v>
      </c>
    </row>
    <row r="56" spans="1:4" hidden="1" x14ac:dyDescent="0.3">
      <c r="A56" t="s">
        <v>29</v>
      </c>
      <c r="B56" t="s">
        <v>32</v>
      </c>
      <c r="C56" t="s">
        <v>14</v>
      </c>
      <c r="D56">
        <v>8077</v>
      </c>
    </row>
    <row r="57" spans="1:4" hidden="1" x14ac:dyDescent="0.3">
      <c r="A57" t="s">
        <v>29</v>
      </c>
      <c r="B57" t="s">
        <v>124</v>
      </c>
      <c r="C57" t="s">
        <v>14</v>
      </c>
      <c r="D57">
        <v>9443</v>
      </c>
    </row>
    <row r="58" spans="1:4" hidden="1" x14ac:dyDescent="0.3">
      <c r="A58" t="s">
        <v>29</v>
      </c>
      <c r="B58" t="s">
        <v>124</v>
      </c>
      <c r="C58" t="s">
        <v>14</v>
      </c>
      <c r="D58">
        <v>3839</v>
      </c>
    </row>
    <row r="59" spans="1:4" hidden="1" x14ac:dyDescent="0.3">
      <c r="A59" t="s">
        <v>29</v>
      </c>
      <c r="B59" t="s">
        <v>58</v>
      </c>
      <c r="C59" t="s">
        <v>50</v>
      </c>
      <c r="D59">
        <v>2421</v>
      </c>
    </row>
    <row r="60" spans="1:4" hidden="1" x14ac:dyDescent="0.3">
      <c r="A60" t="s">
        <v>29</v>
      </c>
      <c r="B60" t="s">
        <v>32</v>
      </c>
      <c r="C60" t="s">
        <v>50</v>
      </c>
      <c r="D60">
        <v>20854</v>
      </c>
    </row>
    <row r="61" spans="1:4" hidden="1" x14ac:dyDescent="0.3">
      <c r="A61" t="s">
        <v>29</v>
      </c>
      <c r="B61" t="s">
        <v>32</v>
      </c>
      <c r="C61" t="s">
        <v>50</v>
      </c>
      <c r="D61">
        <v>555</v>
      </c>
    </row>
    <row r="62" spans="1:4" hidden="1" x14ac:dyDescent="0.3">
      <c r="A62" t="s">
        <v>29</v>
      </c>
      <c r="B62" t="s">
        <v>30</v>
      </c>
      <c r="C62" t="s">
        <v>50</v>
      </c>
      <c r="D62">
        <v>19504</v>
      </c>
    </row>
    <row r="63" spans="1:4" hidden="1" x14ac:dyDescent="0.3">
      <c r="A63" t="s">
        <v>29</v>
      </c>
      <c r="B63" t="s">
        <v>32</v>
      </c>
      <c r="C63" t="s">
        <v>50</v>
      </c>
      <c r="D63">
        <v>13262</v>
      </c>
    </row>
    <row r="64" spans="1:4" hidden="1" x14ac:dyDescent="0.3">
      <c r="A64" t="s">
        <v>29</v>
      </c>
      <c r="B64" t="s">
        <v>30</v>
      </c>
      <c r="C64" t="s">
        <v>50</v>
      </c>
      <c r="D64">
        <v>11210</v>
      </c>
    </row>
    <row r="65" spans="1:4" hidden="1" x14ac:dyDescent="0.3">
      <c r="A65" t="s">
        <v>16</v>
      </c>
      <c r="B65" t="s">
        <v>17</v>
      </c>
      <c r="C65" t="s">
        <v>18</v>
      </c>
      <c r="D65">
        <v>3570</v>
      </c>
    </row>
    <row r="66" spans="1:4" hidden="1" x14ac:dyDescent="0.3">
      <c r="A66" t="s">
        <v>16</v>
      </c>
      <c r="B66" t="s">
        <v>17</v>
      </c>
      <c r="C66" t="s">
        <v>18</v>
      </c>
      <c r="D66">
        <v>12903</v>
      </c>
    </row>
    <row r="67" spans="1:4" hidden="1" x14ac:dyDescent="0.3">
      <c r="A67" t="s">
        <v>16</v>
      </c>
      <c r="B67" t="s">
        <v>39</v>
      </c>
      <c r="C67" t="s">
        <v>18</v>
      </c>
      <c r="D67">
        <v>8005</v>
      </c>
    </row>
    <row r="68" spans="1:4" hidden="1" x14ac:dyDescent="0.3">
      <c r="A68" t="s">
        <v>16</v>
      </c>
      <c r="B68" t="s">
        <v>39</v>
      </c>
      <c r="C68" t="s">
        <v>18</v>
      </c>
      <c r="D68">
        <v>19642</v>
      </c>
    </row>
    <row r="69" spans="1:4" hidden="1" x14ac:dyDescent="0.3">
      <c r="A69" t="s">
        <v>16</v>
      </c>
      <c r="B69" t="s">
        <v>41</v>
      </c>
      <c r="C69" t="s">
        <v>18</v>
      </c>
      <c r="D69">
        <v>19167</v>
      </c>
    </row>
    <row r="70" spans="1:4" hidden="1" x14ac:dyDescent="0.3">
      <c r="A70" t="s">
        <v>16</v>
      </c>
      <c r="B70" t="s">
        <v>39</v>
      </c>
      <c r="C70" t="s">
        <v>18</v>
      </c>
      <c r="D70">
        <v>4279</v>
      </c>
    </row>
    <row r="71" spans="1:4" hidden="1" x14ac:dyDescent="0.3">
      <c r="A71" t="s">
        <v>16</v>
      </c>
      <c r="B71" t="s">
        <v>39</v>
      </c>
      <c r="C71" t="s">
        <v>18</v>
      </c>
      <c r="D71">
        <v>20048</v>
      </c>
    </row>
    <row r="72" spans="1:4" hidden="1" x14ac:dyDescent="0.3">
      <c r="A72" t="s">
        <v>16</v>
      </c>
      <c r="B72" t="s">
        <v>39</v>
      </c>
      <c r="C72" t="s">
        <v>18</v>
      </c>
      <c r="D72">
        <v>13122</v>
      </c>
    </row>
    <row r="73" spans="1:4" hidden="1" x14ac:dyDescent="0.3">
      <c r="A73" t="s">
        <v>16</v>
      </c>
      <c r="B73" t="s">
        <v>17</v>
      </c>
      <c r="C73" t="s">
        <v>18</v>
      </c>
      <c r="D73">
        <v>12026</v>
      </c>
    </row>
    <row r="74" spans="1:4" hidden="1" x14ac:dyDescent="0.3">
      <c r="A74" t="s">
        <v>16</v>
      </c>
      <c r="B74" t="s">
        <v>41</v>
      </c>
      <c r="C74" t="s">
        <v>27</v>
      </c>
      <c r="D74">
        <v>3114</v>
      </c>
    </row>
    <row r="75" spans="1:4" hidden="1" x14ac:dyDescent="0.3">
      <c r="A75" t="s">
        <v>16</v>
      </c>
      <c r="B75" t="s">
        <v>39</v>
      </c>
      <c r="C75" t="s">
        <v>27</v>
      </c>
      <c r="D75">
        <v>4155</v>
      </c>
    </row>
    <row r="76" spans="1:4" hidden="1" x14ac:dyDescent="0.3">
      <c r="A76" t="s">
        <v>16</v>
      </c>
      <c r="B76" t="s">
        <v>22</v>
      </c>
      <c r="C76" t="s">
        <v>27</v>
      </c>
      <c r="D76">
        <v>16510</v>
      </c>
    </row>
    <row r="77" spans="1:4" hidden="1" x14ac:dyDescent="0.3">
      <c r="A77" t="s">
        <v>16</v>
      </c>
      <c r="B77" t="s">
        <v>22</v>
      </c>
      <c r="C77" t="s">
        <v>27</v>
      </c>
      <c r="D77">
        <v>9044</v>
      </c>
    </row>
    <row r="78" spans="1:4" hidden="1" x14ac:dyDescent="0.3">
      <c r="A78" t="s">
        <v>16</v>
      </c>
      <c r="B78" t="s">
        <v>22</v>
      </c>
      <c r="C78" t="s">
        <v>27</v>
      </c>
      <c r="D78">
        <v>22237</v>
      </c>
    </row>
    <row r="79" spans="1:4" hidden="1" x14ac:dyDescent="0.3">
      <c r="A79" t="s">
        <v>16</v>
      </c>
      <c r="B79" t="s">
        <v>17</v>
      </c>
      <c r="C79" t="s">
        <v>27</v>
      </c>
      <c r="D79">
        <v>1944</v>
      </c>
    </row>
    <row r="80" spans="1:4" hidden="1" x14ac:dyDescent="0.3">
      <c r="A80" t="s">
        <v>16</v>
      </c>
      <c r="B80" t="s">
        <v>39</v>
      </c>
      <c r="C80" t="s">
        <v>27</v>
      </c>
      <c r="D80">
        <v>22352</v>
      </c>
    </row>
    <row r="81" spans="1:4" hidden="1" x14ac:dyDescent="0.3">
      <c r="A81" t="s">
        <v>16</v>
      </c>
      <c r="B81" t="s">
        <v>41</v>
      </c>
      <c r="C81" t="s">
        <v>27</v>
      </c>
      <c r="D81">
        <v>13806</v>
      </c>
    </row>
    <row r="82" spans="1:4" hidden="1" x14ac:dyDescent="0.3">
      <c r="A82" t="s">
        <v>16</v>
      </c>
      <c r="B82" t="s">
        <v>22</v>
      </c>
      <c r="C82" t="s">
        <v>27</v>
      </c>
      <c r="D82">
        <v>3560</v>
      </c>
    </row>
    <row r="83" spans="1:4" hidden="1" x14ac:dyDescent="0.3">
      <c r="A83" t="s">
        <v>16</v>
      </c>
      <c r="B83" t="s">
        <v>39</v>
      </c>
      <c r="C83" t="s">
        <v>27</v>
      </c>
      <c r="D83">
        <v>5998</v>
      </c>
    </row>
    <row r="84" spans="1:4" hidden="1" x14ac:dyDescent="0.3">
      <c r="A84" t="s">
        <v>16</v>
      </c>
      <c r="B84" t="s">
        <v>22</v>
      </c>
      <c r="C84" t="s">
        <v>14</v>
      </c>
      <c r="D84">
        <v>23962</v>
      </c>
    </row>
    <row r="85" spans="1:4" hidden="1" x14ac:dyDescent="0.3">
      <c r="A85" t="s">
        <v>16</v>
      </c>
      <c r="B85" t="s">
        <v>39</v>
      </c>
      <c r="C85" t="s">
        <v>14</v>
      </c>
      <c r="D85">
        <v>23587</v>
      </c>
    </row>
    <row r="86" spans="1:4" hidden="1" x14ac:dyDescent="0.3">
      <c r="A86" t="s">
        <v>16</v>
      </c>
      <c r="B86" t="s">
        <v>39</v>
      </c>
      <c r="C86" t="s">
        <v>14</v>
      </c>
      <c r="D86">
        <v>5508</v>
      </c>
    </row>
    <row r="87" spans="1:4" hidden="1" x14ac:dyDescent="0.3">
      <c r="A87" t="s">
        <v>16</v>
      </c>
      <c r="B87" t="s">
        <v>17</v>
      </c>
      <c r="C87" t="s">
        <v>14</v>
      </c>
      <c r="D87">
        <v>9185</v>
      </c>
    </row>
    <row r="88" spans="1:4" hidden="1" x14ac:dyDescent="0.3">
      <c r="A88" t="s">
        <v>16</v>
      </c>
      <c r="B88" t="s">
        <v>17</v>
      </c>
      <c r="C88" t="s">
        <v>14</v>
      </c>
      <c r="D88">
        <v>7862</v>
      </c>
    </row>
    <row r="89" spans="1:4" hidden="1" x14ac:dyDescent="0.3">
      <c r="A89" t="s">
        <v>16</v>
      </c>
      <c r="B89" t="s">
        <v>41</v>
      </c>
      <c r="C89" t="s">
        <v>14</v>
      </c>
      <c r="D89">
        <v>1870</v>
      </c>
    </row>
    <row r="90" spans="1:4" hidden="1" x14ac:dyDescent="0.3">
      <c r="A90" t="s">
        <v>16</v>
      </c>
      <c r="B90" t="s">
        <v>17</v>
      </c>
      <c r="C90" t="s">
        <v>14</v>
      </c>
      <c r="D90">
        <v>8257</v>
      </c>
    </row>
    <row r="91" spans="1:4" hidden="1" x14ac:dyDescent="0.3">
      <c r="A91" t="s">
        <v>16</v>
      </c>
      <c r="B91" t="s">
        <v>17</v>
      </c>
      <c r="C91" t="s">
        <v>14</v>
      </c>
      <c r="D91">
        <v>24868</v>
      </c>
    </row>
    <row r="92" spans="1:4" hidden="1" x14ac:dyDescent="0.3">
      <c r="A92" t="s">
        <v>16</v>
      </c>
      <c r="B92" t="s">
        <v>17</v>
      </c>
      <c r="C92" t="s">
        <v>50</v>
      </c>
      <c r="D92">
        <v>5181</v>
      </c>
    </row>
    <row r="93" spans="1:4" hidden="1" x14ac:dyDescent="0.3">
      <c r="A93" t="s">
        <v>16</v>
      </c>
      <c r="B93" t="s">
        <v>17</v>
      </c>
      <c r="C93" t="s">
        <v>50</v>
      </c>
      <c r="D93">
        <v>13970</v>
      </c>
    </row>
    <row r="94" spans="1:4" hidden="1" x14ac:dyDescent="0.3">
      <c r="A94" t="s">
        <v>16</v>
      </c>
      <c r="B94" t="s">
        <v>22</v>
      </c>
      <c r="C94" t="s">
        <v>50</v>
      </c>
      <c r="D94">
        <v>24362</v>
      </c>
    </row>
    <row r="95" spans="1:4" hidden="1" x14ac:dyDescent="0.3">
      <c r="A95" t="s">
        <v>16</v>
      </c>
      <c r="B95" t="s">
        <v>39</v>
      </c>
      <c r="C95" t="s">
        <v>50</v>
      </c>
      <c r="D95">
        <v>8728</v>
      </c>
    </row>
    <row r="96" spans="1:4" hidden="1" x14ac:dyDescent="0.3">
      <c r="A96" t="s">
        <v>16</v>
      </c>
      <c r="B96" t="s">
        <v>22</v>
      </c>
      <c r="C96" t="s">
        <v>50</v>
      </c>
      <c r="D96">
        <v>21136</v>
      </c>
    </row>
    <row r="97" spans="1:4" hidden="1" x14ac:dyDescent="0.3">
      <c r="A97" t="s">
        <v>16</v>
      </c>
      <c r="B97" t="s">
        <v>17</v>
      </c>
      <c r="C97" t="s">
        <v>50</v>
      </c>
      <c r="D97">
        <v>8494</v>
      </c>
    </row>
    <row r="98" spans="1:4" hidden="1" x14ac:dyDescent="0.3">
      <c r="A98" t="s">
        <v>16</v>
      </c>
      <c r="B98" t="s">
        <v>39</v>
      </c>
      <c r="C98" t="s">
        <v>50</v>
      </c>
      <c r="D98">
        <v>20575</v>
      </c>
    </row>
    <row r="99" spans="1:4" hidden="1" x14ac:dyDescent="0.3">
      <c r="A99" t="s">
        <v>16</v>
      </c>
      <c r="B99" t="s">
        <v>41</v>
      </c>
      <c r="C99" t="s">
        <v>50</v>
      </c>
      <c r="D99">
        <v>13856</v>
      </c>
    </row>
    <row r="100" spans="1:4" hidden="1" x14ac:dyDescent="0.3">
      <c r="A100" t="s">
        <v>16</v>
      </c>
      <c r="B100" t="s">
        <v>22</v>
      </c>
      <c r="C100" t="s">
        <v>50</v>
      </c>
      <c r="D100">
        <v>22176</v>
      </c>
    </row>
    <row r="101" spans="1:4" hidden="1" x14ac:dyDescent="0.3">
      <c r="A101" t="s">
        <v>16</v>
      </c>
      <c r="B101" t="s">
        <v>39</v>
      </c>
      <c r="C101" t="s">
        <v>50</v>
      </c>
      <c r="D101">
        <v>16562</v>
      </c>
    </row>
  </sheetData>
  <autoFilter ref="A1:D101" xr:uid="{1297157D-8B27-4D65-98C4-51620B7A57CA}">
    <filterColumn colId="0">
      <filters>
        <filter val="Technology"/>
      </filters>
    </filterColumn>
    <filterColumn colId="2">
      <filters>
        <filter val="North"/>
      </filters>
    </filterColumn>
  </autoFilter>
  <sortState xmlns:xlrd2="http://schemas.microsoft.com/office/spreadsheetml/2017/richdata2" ref="A2:D101">
    <sortCondition ref="A2:A101" customList="technology"/>
    <sortCondition ref="C2:C101" customList="north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2503-7E88-4F5B-A6E9-1EB9F3750860}">
  <dimension ref="A1:J101"/>
  <sheetViews>
    <sheetView workbookViewId="0">
      <selection sqref="A1:B1048576"/>
    </sheetView>
  </sheetViews>
  <sheetFormatPr defaultRowHeight="14.4" x14ac:dyDescent="0.3"/>
  <cols>
    <col min="1" max="1" width="10.77734375" bestFit="1" customWidth="1"/>
    <col min="2" max="2" width="7.33203125" bestFit="1" customWidth="1"/>
  </cols>
  <sheetData>
    <row r="1" spans="1:10" x14ac:dyDescent="0.3">
      <c r="A1" t="s">
        <v>5</v>
      </c>
      <c r="B1" t="s">
        <v>7</v>
      </c>
    </row>
    <row r="2" spans="1:10" x14ac:dyDescent="0.3">
      <c r="A2" t="s">
        <v>13</v>
      </c>
      <c r="B2">
        <v>5072</v>
      </c>
    </row>
    <row r="3" spans="1:10" x14ac:dyDescent="0.3">
      <c r="A3" t="s">
        <v>17</v>
      </c>
      <c r="B3">
        <v>3570</v>
      </c>
      <c r="J3">
        <v>23</v>
      </c>
    </row>
    <row r="4" spans="1:10" x14ac:dyDescent="0.3">
      <c r="A4" t="s">
        <v>22</v>
      </c>
      <c r="B4">
        <v>23962</v>
      </c>
    </row>
    <row r="5" spans="1:10" x14ac:dyDescent="0.3">
      <c r="A5" t="s">
        <v>26</v>
      </c>
      <c r="B5">
        <v>712</v>
      </c>
      <c r="J5" t="s">
        <v>244</v>
      </c>
    </row>
    <row r="6" spans="1:10" x14ac:dyDescent="0.3">
      <c r="A6" t="s">
        <v>30</v>
      </c>
      <c r="B6">
        <v>11529</v>
      </c>
    </row>
    <row r="7" spans="1:10" x14ac:dyDescent="0.3">
      <c r="A7" t="s">
        <v>32</v>
      </c>
      <c r="B7">
        <v>20282</v>
      </c>
    </row>
    <row r="8" spans="1:10" x14ac:dyDescent="0.3">
      <c r="A8" t="s">
        <v>17</v>
      </c>
      <c r="B8">
        <v>12903</v>
      </c>
    </row>
    <row r="9" spans="1:10" x14ac:dyDescent="0.3">
      <c r="A9" t="s">
        <v>39</v>
      </c>
      <c r="B9">
        <v>23587</v>
      </c>
    </row>
    <row r="10" spans="1:10" x14ac:dyDescent="0.3">
      <c r="A10" t="s">
        <v>41</v>
      </c>
      <c r="B10">
        <v>3114</v>
      </c>
    </row>
    <row r="11" spans="1:10" x14ac:dyDescent="0.3">
      <c r="A11" t="s">
        <v>30</v>
      </c>
      <c r="B11">
        <v>5829</v>
      </c>
    </row>
    <row r="12" spans="1:10" x14ac:dyDescent="0.3">
      <c r="A12" t="s">
        <v>13</v>
      </c>
      <c r="B12">
        <v>20460</v>
      </c>
    </row>
    <row r="13" spans="1:10" x14ac:dyDescent="0.3">
      <c r="A13" t="s">
        <v>26</v>
      </c>
      <c r="B13">
        <v>21471</v>
      </c>
    </row>
    <row r="14" spans="1:10" x14ac:dyDescent="0.3">
      <c r="A14" t="s">
        <v>39</v>
      </c>
      <c r="B14">
        <v>8005</v>
      </c>
    </row>
    <row r="15" spans="1:10" x14ac:dyDescent="0.3">
      <c r="A15" t="s">
        <v>30</v>
      </c>
      <c r="B15">
        <v>19085</v>
      </c>
    </row>
    <row r="16" spans="1:10" x14ac:dyDescent="0.3">
      <c r="A16" t="s">
        <v>17</v>
      </c>
      <c r="B16">
        <v>5181</v>
      </c>
    </row>
    <row r="17" spans="1:2" x14ac:dyDescent="0.3">
      <c r="A17" t="s">
        <v>13</v>
      </c>
      <c r="B17">
        <v>19621</v>
      </c>
    </row>
    <row r="18" spans="1:2" x14ac:dyDescent="0.3">
      <c r="A18" t="s">
        <v>55</v>
      </c>
      <c r="B18">
        <v>3478</v>
      </c>
    </row>
    <row r="19" spans="1:2" x14ac:dyDescent="0.3">
      <c r="A19" t="s">
        <v>55</v>
      </c>
      <c r="B19">
        <v>20043</v>
      </c>
    </row>
    <row r="20" spans="1:2" x14ac:dyDescent="0.3">
      <c r="A20" t="s">
        <v>58</v>
      </c>
      <c r="B20">
        <v>18628</v>
      </c>
    </row>
    <row r="21" spans="1:2" x14ac:dyDescent="0.3">
      <c r="A21" t="s">
        <v>39</v>
      </c>
      <c r="B21">
        <v>4155</v>
      </c>
    </row>
    <row r="22" spans="1:2" x14ac:dyDescent="0.3">
      <c r="A22" t="s">
        <v>26</v>
      </c>
      <c r="B22">
        <v>16903</v>
      </c>
    </row>
    <row r="23" spans="1:2" x14ac:dyDescent="0.3">
      <c r="A23" t="s">
        <v>39</v>
      </c>
      <c r="B23">
        <v>5508</v>
      </c>
    </row>
    <row r="24" spans="1:2" x14ac:dyDescent="0.3">
      <c r="A24" t="s">
        <v>22</v>
      </c>
      <c r="B24">
        <v>16510</v>
      </c>
    </row>
    <row r="25" spans="1:2" x14ac:dyDescent="0.3">
      <c r="A25" t="s">
        <v>30</v>
      </c>
      <c r="B25">
        <v>8392</v>
      </c>
    </row>
    <row r="26" spans="1:2" x14ac:dyDescent="0.3">
      <c r="A26" t="s">
        <v>26</v>
      </c>
      <c r="B26">
        <v>17955</v>
      </c>
    </row>
    <row r="27" spans="1:2" x14ac:dyDescent="0.3">
      <c r="A27" t="s">
        <v>17</v>
      </c>
      <c r="B27">
        <v>9185</v>
      </c>
    </row>
    <row r="28" spans="1:2" x14ac:dyDescent="0.3">
      <c r="A28" t="s">
        <v>55</v>
      </c>
      <c r="B28">
        <v>13574</v>
      </c>
    </row>
    <row r="29" spans="1:2" x14ac:dyDescent="0.3">
      <c r="A29" t="s">
        <v>17</v>
      </c>
      <c r="B29">
        <v>7862</v>
      </c>
    </row>
    <row r="30" spans="1:2" x14ac:dyDescent="0.3">
      <c r="A30" t="s">
        <v>55</v>
      </c>
      <c r="B30">
        <v>735</v>
      </c>
    </row>
    <row r="31" spans="1:2" x14ac:dyDescent="0.3">
      <c r="A31" t="s">
        <v>72</v>
      </c>
      <c r="B31">
        <v>11327</v>
      </c>
    </row>
    <row r="32" spans="1:2" x14ac:dyDescent="0.3">
      <c r="A32" t="s">
        <v>58</v>
      </c>
      <c r="B32">
        <v>24202</v>
      </c>
    </row>
    <row r="33" spans="1:2" x14ac:dyDescent="0.3">
      <c r="A33" t="s">
        <v>26</v>
      </c>
      <c r="B33">
        <v>6739</v>
      </c>
    </row>
    <row r="34" spans="1:2" x14ac:dyDescent="0.3">
      <c r="A34" t="s">
        <v>17</v>
      </c>
      <c r="B34">
        <v>13970</v>
      </c>
    </row>
    <row r="35" spans="1:2" x14ac:dyDescent="0.3">
      <c r="A35" t="s">
        <v>22</v>
      </c>
      <c r="B35">
        <v>24362</v>
      </c>
    </row>
    <row r="36" spans="1:2" x14ac:dyDescent="0.3">
      <c r="A36" t="s">
        <v>55</v>
      </c>
      <c r="B36">
        <v>5093</v>
      </c>
    </row>
    <row r="37" spans="1:2" x14ac:dyDescent="0.3">
      <c r="A37" t="s">
        <v>58</v>
      </c>
      <c r="B37">
        <v>15020</v>
      </c>
    </row>
    <row r="38" spans="1:2" x14ac:dyDescent="0.3">
      <c r="A38" t="s">
        <v>72</v>
      </c>
      <c r="B38">
        <v>8245</v>
      </c>
    </row>
    <row r="39" spans="1:2" x14ac:dyDescent="0.3">
      <c r="A39" t="s">
        <v>58</v>
      </c>
      <c r="B39">
        <v>2421</v>
      </c>
    </row>
    <row r="40" spans="1:2" x14ac:dyDescent="0.3">
      <c r="A40" t="s">
        <v>26</v>
      </c>
      <c r="B40">
        <v>9847</v>
      </c>
    </row>
    <row r="41" spans="1:2" x14ac:dyDescent="0.3">
      <c r="A41" t="s">
        <v>55</v>
      </c>
      <c r="B41">
        <v>2416</v>
      </c>
    </row>
    <row r="42" spans="1:2" x14ac:dyDescent="0.3">
      <c r="A42" t="s">
        <v>39</v>
      </c>
      <c r="B42">
        <v>19642</v>
      </c>
    </row>
    <row r="43" spans="1:2" x14ac:dyDescent="0.3">
      <c r="A43" t="s">
        <v>72</v>
      </c>
      <c r="B43">
        <v>2745</v>
      </c>
    </row>
    <row r="44" spans="1:2" x14ac:dyDescent="0.3">
      <c r="A44" t="s">
        <v>41</v>
      </c>
      <c r="B44">
        <v>19167</v>
      </c>
    </row>
    <row r="45" spans="1:2" x14ac:dyDescent="0.3">
      <c r="A45" t="s">
        <v>22</v>
      </c>
      <c r="B45">
        <v>9044</v>
      </c>
    </row>
    <row r="46" spans="1:2" x14ac:dyDescent="0.3">
      <c r="A46" t="s">
        <v>13</v>
      </c>
      <c r="B46">
        <v>22509</v>
      </c>
    </row>
    <row r="47" spans="1:2" x14ac:dyDescent="0.3">
      <c r="A47" t="s">
        <v>32</v>
      </c>
      <c r="B47">
        <v>20854</v>
      </c>
    </row>
    <row r="48" spans="1:2" x14ac:dyDescent="0.3">
      <c r="A48" t="s">
        <v>55</v>
      </c>
      <c r="B48">
        <v>4840</v>
      </c>
    </row>
    <row r="49" spans="1:2" x14ac:dyDescent="0.3">
      <c r="A49" t="s">
        <v>13</v>
      </c>
      <c r="B49">
        <v>14858</v>
      </c>
    </row>
    <row r="50" spans="1:2" x14ac:dyDescent="0.3">
      <c r="A50" t="s">
        <v>22</v>
      </c>
      <c r="B50">
        <v>22237</v>
      </c>
    </row>
    <row r="51" spans="1:2" x14ac:dyDescent="0.3">
      <c r="A51" t="s">
        <v>32</v>
      </c>
      <c r="B51">
        <v>24827</v>
      </c>
    </row>
    <row r="52" spans="1:2" x14ac:dyDescent="0.3">
      <c r="A52" t="s">
        <v>30</v>
      </c>
      <c r="B52">
        <v>24014</v>
      </c>
    </row>
    <row r="53" spans="1:2" x14ac:dyDescent="0.3">
      <c r="A53" t="s">
        <v>39</v>
      </c>
      <c r="B53">
        <v>8728</v>
      </c>
    </row>
    <row r="54" spans="1:2" x14ac:dyDescent="0.3">
      <c r="A54" t="s">
        <v>17</v>
      </c>
      <c r="B54">
        <v>1944</v>
      </c>
    </row>
    <row r="55" spans="1:2" x14ac:dyDescent="0.3">
      <c r="A55" t="s">
        <v>13</v>
      </c>
      <c r="B55">
        <v>18577</v>
      </c>
    </row>
    <row r="56" spans="1:2" x14ac:dyDescent="0.3">
      <c r="A56" t="s">
        <v>72</v>
      </c>
      <c r="B56">
        <v>18377</v>
      </c>
    </row>
    <row r="57" spans="1:2" x14ac:dyDescent="0.3">
      <c r="A57" t="s">
        <v>41</v>
      </c>
      <c r="B57">
        <v>1870</v>
      </c>
    </row>
    <row r="58" spans="1:2" x14ac:dyDescent="0.3">
      <c r="A58" t="s">
        <v>13</v>
      </c>
      <c r="B58">
        <v>22354</v>
      </c>
    </row>
    <row r="59" spans="1:2" x14ac:dyDescent="0.3">
      <c r="A59" t="s">
        <v>17</v>
      </c>
      <c r="B59">
        <v>8257</v>
      </c>
    </row>
    <row r="60" spans="1:2" x14ac:dyDescent="0.3">
      <c r="A60" t="s">
        <v>32</v>
      </c>
      <c r="B60">
        <v>13991</v>
      </c>
    </row>
    <row r="61" spans="1:2" x14ac:dyDescent="0.3">
      <c r="A61" t="s">
        <v>72</v>
      </c>
      <c r="B61">
        <v>15923</v>
      </c>
    </row>
    <row r="62" spans="1:2" x14ac:dyDescent="0.3">
      <c r="A62" t="s">
        <v>30</v>
      </c>
      <c r="B62">
        <v>7804</v>
      </c>
    </row>
    <row r="63" spans="1:2" x14ac:dyDescent="0.3">
      <c r="A63" t="s">
        <v>30</v>
      </c>
      <c r="B63">
        <v>9646</v>
      </c>
    </row>
    <row r="64" spans="1:2" x14ac:dyDescent="0.3">
      <c r="A64" t="s">
        <v>39</v>
      </c>
      <c r="B64">
        <v>4279</v>
      </c>
    </row>
    <row r="65" spans="1:2" x14ac:dyDescent="0.3">
      <c r="A65" t="s">
        <v>39</v>
      </c>
      <c r="B65">
        <v>20048</v>
      </c>
    </row>
    <row r="66" spans="1:2" x14ac:dyDescent="0.3">
      <c r="A66" t="s">
        <v>39</v>
      </c>
      <c r="B66">
        <v>13122</v>
      </c>
    </row>
    <row r="67" spans="1:2" x14ac:dyDescent="0.3">
      <c r="A67" t="s">
        <v>32</v>
      </c>
      <c r="B67">
        <v>555</v>
      </c>
    </row>
    <row r="68" spans="1:2" x14ac:dyDescent="0.3">
      <c r="A68" t="s">
        <v>58</v>
      </c>
      <c r="B68">
        <v>20919</v>
      </c>
    </row>
    <row r="69" spans="1:2" x14ac:dyDescent="0.3">
      <c r="A69" t="s">
        <v>39</v>
      </c>
      <c r="B69">
        <v>22352</v>
      </c>
    </row>
    <row r="70" spans="1:2" x14ac:dyDescent="0.3">
      <c r="A70" t="s">
        <v>30</v>
      </c>
      <c r="B70">
        <v>6786</v>
      </c>
    </row>
    <row r="71" spans="1:2" x14ac:dyDescent="0.3">
      <c r="A71" t="s">
        <v>41</v>
      </c>
      <c r="B71">
        <v>13806</v>
      </c>
    </row>
    <row r="72" spans="1:2" x14ac:dyDescent="0.3">
      <c r="A72" t="s">
        <v>30</v>
      </c>
      <c r="B72">
        <v>19504</v>
      </c>
    </row>
    <row r="73" spans="1:2" x14ac:dyDescent="0.3">
      <c r="A73" t="s">
        <v>58</v>
      </c>
      <c r="B73">
        <v>17250</v>
      </c>
    </row>
    <row r="74" spans="1:2" x14ac:dyDescent="0.3">
      <c r="A74" t="s">
        <v>22</v>
      </c>
      <c r="B74">
        <v>3560</v>
      </c>
    </row>
    <row r="75" spans="1:2" x14ac:dyDescent="0.3">
      <c r="A75" t="s">
        <v>55</v>
      </c>
      <c r="B75">
        <v>2014</v>
      </c>
    </row>
    <row r="76" spans="1:2" x14ac:dyDescent="0.3">
      <c r="A76" t="s">
        <v>22</v>
      </c>
      <c r="B76">
        <v>21136</v>
      </c>
    </row>
    <row r="77" spans="1:2" x14ac:dyDescent="0.3">
      <c r="A77" t="s">
        <v>17</v>
      </c>
      <c r="B77">
        <v>8494</v>
      </c>
    </row>
    <row r="78" spans="1:2" x14ac:dyDescent="0.3">
      <c r="A78" t="s">
        <v>26</v>
      </c>
      <c r="B78">
        <v>23303</v>
      </c>
    </row>
    <row r="79" spans="1:2" x14ac:dyDescent="0.3">
      <c r="A79" t="s">
        <v>55</v>
      </c>
      <c r="B79">
        <v>15457</v>
      </c>
    </row>
    <row r="80" spans="1:2" x14ac:dyDescent="0.3">
      <c r="A80" t="s">
        <v>39</v>
      </c>
      <c r="B80">
        <v>20575</v>
      </c>
    </row>
    <row r="81" spans="1:2" x14ac:dyDescent="0.3">
      <c r="A81" t="s">
        <v>17</v>
      </c>
      <c r="B81">
        <v>24868</v>
      </c>
    </row>
    <row r="82" spans="1:2" x14ac:dyDescent="0.3">
      <c r="A82" t="s">
        <v>124</v>
      </c>
      <c r="B82">
        <v>17581</v>
      </c>
    </row>
    <row r="83" spans="1:2" x14ac:dyDescent="0.3">
      <c r="A83" t="s">
        <v>58</v>
      </c>
      <c r="B83">
        <v>8183</v>
      </c>
    </row>
    <row r="84" spans="1:2" x14ac:dyDescent="0.3">
      <c r="A84" t="s">
        <v>32</v>
      </c>
      <c r="B84">
        <v>8077</v>
      </c>
    </row>
    <row r="85" spans="1:2" x14ac:dyDescent="0.3">
      <c r="A85" t="s">
        <v>41</v>
      </c>
      <c r="B85">
        <v>13856</v>
      </c>
    </row>
    <row r="86" spans="1:2" x14ac:dyDescent="0.3">
      <c r="A86" t="s">
        <v>32</v>
      </c>
      <c r="B86">
        <v>13262</v>
      </c>
    </row>
    <row r="87" spans="1:2" x14ac:dyDescent="0.3">
      <c r="A87" t="s">
        <v>17</v>
      </c>
      <c r="B87">
        <v>12026</v>
      </c>
    </row>
    <row r="88" spans="1:2" x14ac:dyDescent="0.3">
      <c r="A88" t="s">
        <v>124</v>
      </c>
      <c r="B88">
        <v>9443</v>
      </c>
    </row>
    <row r="89" spans="1:2" x14ac:dyDescent="0.3">
      <c r="A89" t="s">
        <v>26</v>
      </c>
      <c r="B89">
        <v>24229</v>
      </c>
    </row>
    <row r="90" spans="1:2" x14ac:dyDescent="0.3">
      <c r="A90" t="s">
        <v>72</v>
      </c>
      <c r="B90">
        <v>19895</v>
      </c>
    </row>
    <row r="91" spans="1:2" x14ac:dyDescent="0.3">
      <c r="A91" t="s">
        <v>26</v>
      </c>
      <c r="B91">
        <v>6454</v>
      </c>
    </row>
    <row r="92" spans="1:2" x14ac:dyDescent="0.3">
      <c r="A92" t="s">
        <v>30</v>
      </c>
      <c r="B92">
        <v>11210</v>
      </c>
    </row>
    <row r="93" spans="1:2" x14ac:dyDescent="0.3">
      <c r="A93" t="s">
        <v>58</v>
      </c>
      <c r="B93">
        <v>15911</v>
      </c>
    </row>
    <row r="94" spans="1:2" x14ac:dyDescent="0.3">
      <c r="A94" t="s">
        <v>124</v>
      </c>
      <c r="B94">
        <v>21856</v>
      </c>
    </row>
    <row r="95" spans="1:2" x14ac:dyDescent="0.3">
      <c r="A95" t="s">
        <v>55</v>
      </c>
      <c r="B95">
        <v>20859</v>
      </c>
    </row>
    <row r="96" spans="1:2" x14ac:dyDescent="0.3">
      <c r="A96" t="s">
        <v>26</v>
      </c>
      <c r="B96">
        <v>18980</v>
      </c>
    </row>
    <row r="97" spans="1:2" x14ac:dyDescent="0.3">
      <c r="A97" t="s">
        <v>39</v>
      </c>
      <c r="B97">
        <v>5998</v>
      </c>
    </row>
    <row r="98" spans="1:2" x14ac:dyDescent="0.3">
      <c r="A98" t="s">
        <v>13</v>
      </c>
      <c r="B98">
        <v>10722</v>
      </c>
    </row>
    <row r="99" spans="1:2" x14ac:dyDescent="0.3">
      <c r="A99" t="s">
        <v>124</v>
      </c>
      <c r="B99">
        <v>3839</v>
      </c>
    </row>
    <row r="100" spans="1:2" x14ac:dyDescent="0.3">
      <c r="A100" t="s">
        <v>22</v>
      </c>
      <c r="B100">
        <v>22176</v>
      </c>
    </row>
    <row r="101" spans="1:2" x14ac:dyDescent="0.3">
      <c r="A101" t="s">
        <v>39</v>
      </c>
      <c r="B101">
        <v>16562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2218-E9B1-41D5-90CF-5428C91C840A}">
  <dimension ref="H9:H13"/>
  <sheetViews>
    <sheetView workbookViewId="0">
      <selection activeCell="K7" sqref="K7"/>
    </sheetView>
  </sheetViews>
  <sheetFormatPr defaultRowHeight="14.4" x14ac:dyDescent="0.3"/>
  <sheetData>
    <row r="9" spans="8:8" x14ac:dyDescent="0.3">
      <c r="H9">
        <v>24</v>
      </c>
    </row>
    <row r="11" spans="8:8" x14ac:dyDescent="0.3">
      <c r="H11" t="s">
        <v>245</v>
      </c>
    </row>
    <row r="13" spans="8:8" x14ac:dyDescent="0.3">
      <c r="H13" t="s">
        <v>246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728A-C952-4978-8005-2FF84448F90A}">
  <dimension ref="J9:J11"/>
  <sheetViews>
    <sheetView workbookViewId="0">
      <selection activeCell="K7" sqref="K7"/>
    </sheetView>
  </sheetViews>
  <sheetFormatPr defaultRowHeight="14.4" x14ac:dyDescent="0.3"/>
  <sheetData>
    <row r="9" spans="10:10" x14ac:dyDescent="0.3">
      <c r="J9">
        <v>25</v>
      </c>
    </row>
    <row r="11" spans="10:10" x14ac:dyDescent="0.3">
      <c r="J11" t="s">
        <v>247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CCA5-619C-43E9-B2A0-6E170C3D97F0}">
  <dimension ref="J4:J13"/>
  <sheetViews>
    <sheetView topLeftCell="A4" workbookViewId="0">
      <selection activeCell="L5" sqref="L5"/>
    </sheetView>
  </sheetViews>
  <sheetFormatPr defaultRowHeight="14.4" x14ac:dyDescent="0.3"/>
  <sheetData>
    <row r="4" spans="10:10" x14ac:dyDescent="0.3">
      <c r="J4">
        <v>26</v>
      </c>
    </row>
    <row r="6" spans="10:10" x14ac:dyDescent="0.3">
      <c r="J6" t="s">
        <v>248</v>
      </c>
    </row>
    <row r="8" spans="10:10" x14ac:dyDescent="0.3">
      <c r="J8" t="s">
        <v>249</v>
      </c>
    </row>
    <row r="9" spans="10:10" x14ac:dyDescent="0.3">
      <c r="J9" t="s">
        <v>250</v>
      </c>
    </row>
    <row r="11" spans="10:10" x14ac:dyDescent="0.3">
      <c r="J11" t="s">
        <v>251</v>
      </c>
    </row>
    <row r="13" spans="10:10" x14ac:dyDescent="0.3">
      <c r="J13" t="s">
        <v>252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9BF4-30B1-49DC-AC2D-101AAC58FC0A}">
  <dimension ref="P4:P9"/>
  <sheetViews>
    <sheetView topLeftCell="G1" workbookViewId="0">
      <selection activeCell="S7" sqref="S7"/>
    </sheetView>
  </sheetViews>
  <sheetFormatPr defaultRowHeight="14.4" x14ac:dyDescent="0.3"/>
  <sheetData>
    <row r="4" spans="16:16" x14ac:dyDescent="0.3">
      <c r="P4">
        <v>27</v>
      </c>
    </row>
    <row r="6" spans="16:16" x14ac:dyDescent="0.3">
      <c r="P6" t="s">
        <v>253</v>
      </c>
    </row>
    <row r="8" spans="16:16" x14ac:dyDescent="0.3">
      <c r="P8" t="s">
        <v>254</v>
      </c>
    </row>
    <row r="9" spans="16:16" x14ac:dyDescent="0.3">
      <c r="P9" t="s">
        <v>255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FFF7-0FC8-4DE4-87FB-3C268A72DEA0}">
  <dimension ref="AE11:AE13"/>
  <sheetViews>
    <sheetView topLeftCell="V1" workbookViewId="0">
      <selection activeCell="AH11" sqref="AH11"/>
    </sheetView>
  </sheetViews>
  <sheetFormatPr defaultRowHeight="14.4" x14ac:dyDescent="0.3"/>
  <sheetData>
    <row r="11" spans="31:31" x14ac:dyDescent="0.3">
      <c r="AE11">
        <v>28</v>
      </c>
    </row>
    <row r="13" spans="31:31" x14ac:dyDescent="0.3">
      <c r="AE13" t="s">
        <v>256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996D-C388-432E-B682-750E9EB9673F}">
  <dimension ref="J5:J7"/>
  <sheetViews>
    <sheetView workbookViewId="0">
      <selection activeCell="J12" sqref="J12"/>
    </sheetView>
  </sheetViews>
  <sheetFormatPr defaultRowHeight="14.4" x14ac:dyDescent="0.3"/>
  <sheetData>
    <row r="5" spans="10:10" x14ac:dyDescent="0.3">
      <c r="J5">
        <v>29</v>
      </c>
    </row>
    <row r="7" spans="10:10" x14ac:dyDescent="0.3">
      <c r="J7" t="s">
        <v>257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9C34-D808-4501-94B8-8DE2FDA3D4C8}">
  <dimension ref="J9:J18"/>
  <sheetViews>
    <sheetView tabSelected="1" workbookViewId="0">
      <selection activeCell="J9" sqref="J9:J18"/>
    </sheetView>
  </sheetViews>
  <sheetFormatPr defaultRowHeight="14.4" x14ac:dyDescent="0.3"/>
  <sheetData>
    <row r="9" spans="10:10" x14ac:dyDescent="0.3">
      <c r="J9">
        <v>30</v>
      </c>
    </row>
    <row r="11" spans="10:10" x14ac:dyDescent="0.3">
      <c r="J11" t="s">
        <v>258</v>
      </c>
    </row>
    <row r="13" spans="10:10" x14ac:dyDescent="0.3">
      <c r="J13" t="s">
        <v>259</v>
      </c>
    </row>
    <row r="14" spans="10:10" x14ac:dyDescent="0.3">
      <c r="J14" t="s">
        <v>144</v>
      </c>
    </row>
    <row r="15" spans="10:10" x14ac:dyDescent="0.3">
      <c r="J15" t="s">
        <v>145</v>
      </c>
    </row>
    <row r="16" spans="10:10" x14ac:dyDescent="0.3">
      <c r="J16" t="s">
        <v>260</v>
      </c>
    </row>
    <row r="18" spans="10:10" x14ac:dyDescent="0.3">
      <c r="J18" t="s">
        <v>261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>
      <selection activeCell="H1" activeCellId="1" sqref="F1:F1048576 H1:H1048576"/>
    </sheetView>
  </sheetViews>
  <sheetFormatPr defaultRowHeight="14.4" x14ac:dyDescent="0.3"/>
  <cols>
    <col min="1" max="1" width="10.6640625" bestFit="1" customWidth="1"/>
    <col min="2" max="2" width="12.77734375" bestFit="1" customWidth="1"/>
    <col min="3" max="3" width="13.88671875" bestFit="1" customWidth="1"/>
    <col min="4" max="4" width="17.109375" bestFit="1" customWidth="1"/>
    <col min="5" max="5" width="13.109375" bestFit="1" customWidth="1"/>
    <col min="6" max="6" width="10.77734375" bestFit="1" customWidth="1"/>
    <col min="7" max="7" width="8.77734375" bestFit="1" customWidth="1"/>
    <col min="8" max="8" width="7.33203125" bestFit="1" customWidth="1"/>
    <col min="9" max="9" width="10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45417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5072</v>
      </c>
      <c r="I2">
        <v>2</v>
      </c>
    </row>
    <row r="3" spans="1:9" x14ac:dyDescent="0.3">
      <c r="A3" t="s">
        <v>15</v>
      </c>
      <c r="B3" s="1">
        <v>45308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>
        <v>3570</v>
      </c>
      <c r="I3">
        <v>4</v>
      </c>
    </row>
    <row r="4" spans="1:9" x14ac:dyDescent="0.3">
      <c r="A4" t="s">
        <v>19</v>
      </c>
      <c r="B4" s="1">
        <v>45579</v>
      </c>
      <c r="C4" t="s">
        <v>20</v>
      </c>
      <c r="D4" t="s">
        <v>21</v>
      </c>
      <c r="E4" t="s">
        <v>16</v>
      </c>
      <c r="F4" t="s">
        <v>22</v>
      </c>
      <c r="G4" t="s">
        <v>14</v>
      </c>
      <c r="H4">
        <v>23962</v>
      </c>
      <c r="I4">
        <v>9</v>
      </c>
    </row>
    <row r="5" spans="1:9" x14ac:dyDescent="0.3">
      <c r="A5" t="s">
        <v>23</v>
      </c>
      <c r="B5" s="1">
        <v>45593</v>
      </c>
      <c r="C5" t="s">
        <v>24</v>
      </c>
      <c r="D5" t="s">
        <v>25</v>
      </c>
      <c r="E5" t="s">
        <v>12</v>
      </c>
      <c r="F5" t="s">
        <v>26</v>
      </c>
      <c r="G5" t="s">
        <v>27</v>
      </c>
      <c r="H5">
        <v>712</v>
      </c>
      <c r="I5">
        <v>3</v>
      </c>
    </row>
    <row r="6" spans="1:9" x14ac:dyDescent="0.3">
      <c r="A6" t="s">
        <v>28</v>
      </c>
      <c r="B6" s="1">
        <v>45371</v>
      </c>
      <c r="C6" t="s">
        <v>24</v>
      </c>
      <c r="D6" t="s">
        <v>25</v>
      </c>
      <c r="E6" t="s">
        <v>29</v>
      </c>
      <c r="F6" t="s">
        <v>30</v>
      </c>
      <c r="G6" t="s">
        <v>14</v>
      </c>
      <c r="H6">
        <v>11529</v>
      </c>
      <c r="I6">
        <v>2</v>
      </c>
    </row>
    <row r="7" spans="1:9" x14ac:dyDescent="0.3">
      <c r="A7" t="s">
        <v>31</v>
      </c>
      <c r="B7" s="1">
        <v>45475</v>
      </c>
      <c r="C7" t="s">
        <v>10</v>
      </c>
      <c r="D7" t="s">
        <v>11</v>
      </c>
      <c r="E7" t="s">
        <v>29</v>
      </c>
      <c r="F7" t="s">
        <v>32</v>
      </c>
      <c r="G7" t="s">
        <v>27</v>
      </c>
      <c r="H7">
        <v>20282</v>
      </c>
      <c r="I7">
        <v>5</v>
      </c>
    </row>
    <row r="8" spans="1:9" x14ac:dyDescent="0.3">
      <c r="A8" t="s">
        <v>33</v>
      </c>
      <c r="B8" s="1">
        <v>45566</v>
      </c>
      <c r="C8" t="s">
        <v>34</v>
      </c>
      <c r="D8" t="s">
        <v>35</v>
      </c>
      <c r="E8" t="s">
        <v>16</v>
      </c>
      <c r="F8" t="s">
        <v>17</v>
      </c>
      <c r="G8" t="s">
        <v>18</v>
      </c>
      <c r="H8">
        <v>12903</v>
      </c>
      <c r="I8">
        <v>2</v>
      </c>
    </row>
    <row r="9" spans="1:9" x14ac:dyDescent="0.3">
      <c r="A9" t="s">
        <v>36</v>
      </c>
      <c r="B9" s="1">
        <v>45587</v>
      </c>
      <c r="C9" t="s">
        <v>37</v>
      </c>
      <c r="D9" t="s">
        <v>38</v>
      </c>
      <c r="E9" t="s">
        <v>16</v>
      </c>
      <c r="F9" t="s">
        <v>39</v>
      </c>
      <c r="G9" t="s">
        <v>14</v>
      </c>
      <c r="H9">
        <v>23587</v>
      </c>
      <c r="I9">
        <v>2</v>
      </c>
    </row>
    <row r="10" spans="1:9" x14ac:dyDescent="0.3">
      <c r="A10" t="s">
        <v>40</v>
      </c>
      <c r="B10" s="1">
        <v>45687</v>
      </c>
      <c r="C10" t="s">
        <v>34</v>
      </c>
      <c r="D10" t="s">
        <v>35</v>
      </c>
      <c r="E10" t="s">
        <v>16</v>
      </c>
      <c r="F10" t="s">
        <v>41</v>
      </c>
      <c r="G10" t="s">
        <v>27</v>
      </c>
      <c r="H10">
        <v>3114</v>
      </c>
      <c r="I10">
        <v>4</v>
      </c>
    </row>
    <row r="11" spans="1:9" x14ac:dyDescent="0.3">
      <c r="A11" t="s">
        <v>42</v>
      </c>
      <c r="B11" s="1">
        <v>45524</v>
      </c>
      <c r="C11" t="s">
        <v>10</v>
      </c>
      <c r="D11" t="s">
        <v>11</v>
      </c>
      <c r="E11" t="s">
        <v>29</v>
      </c>
      <c r="F11" t="s">
        <v>30</v>
      </c>
      <c r="G11" t="s">
        <v>27</v>
      </c>
      <c r="H11">
        <v>5829</v>
      </c>
      <c r="I11">
        <v>6</v>
      </c>
    </row>
    <row r="12" spans="1:9" x14ac:dyDescent="0.3">
      <c r="A12" t="s">
        <v>43</v>
      </c>
      <c r="B12" s="1">
        <v>45651</v>
      </c>
      <c r="C12" t="s">
        <v>44</v>
      </c>
      <c r="D12" t="s">
        <v>45</v>
      </c>
      <c r="E12" t="s">
        <v>12</v>
      </c>
      <c r="F12" t="s">
        <v>13</v>
      </c>
      <c r="G12" t="s">
        <v>18</v>
      </c>
      <c r="H12">
        <v>20460</v>
      </c>
      <c r="I12">
        <v>3</v>
      </c>
    </row>
    <row r="13" spans="1:9" x14ac:dyDescent="0.3">
      <c r="A13" t="s">
        <v>46</v>
      </c>
      <c r="B13" s="1">
        <v>45486</v>
      </c>
      <c r="C13" t="s">
        <v>20</v>
      </c>
      <c r="D13" t="s">
        <v>21</v>
      </c>
      <c r="E13" t="s">
        <v>12</v>
      </c>
      <c r="F13" t="s">
        <v>26</v>
      </c>
      <c r="G13" t="s">
        <v>27</v>
      </c>
      <c r="H13">
        <v>21471</v>
      </c>
      <c r="I13">
        <v>9</v>
      </c>
    </row>
    <row r="14" spans="1:9" x14ac:dyDescent="0.3">
      <c r="A14" t="s">
        <v>47</v>
      </c>
      <c r="B14" s="1">
        <v>45723</v>
      </c>
      <c r="C14" t="s">
        <v>20</v>
      </c>
      <c r="D14" t="s">
        <v>21</v>
      </c>
      <c r="E14" t="s">
        <v>16</v>
      </c>
      <c r="F14" t="s">
        <v>39</v>
      </c>
      <c r="G14" t="s">
        <v>18</v>
      </c>
      <c r="H14">
        <v>8005</v>
      </c>
      <c r="I14">
        <v>1</v>
      </c>
    </row>
    <row r="15" spans="1:9" x14ac:dyDescent="0.3">
      <c r="A15" t="s">
        <v>48</v>
      </c>
      <c r="B15" s="1">
        <v>45325</v>
      </c>
      <c r="C15" t="s">
        <v>44</v>
      </c>
      <c r="D15" t="s">
        <v>45</v>
      </c>
      <c r="E15" t="s">
        <v>29</v>
      </c>
      <c r="F15" t="s">
        <v>30</v>
      </c>
      <c r="G15" t="s">
        <v>14</v>
      </c>
      <c r="H15">
        <v>19085</v>
      </c>
      <c r="I15">
        <v>6</v>
      </c>
    </row>
    <row r="16" spans="1:9" x14ac:dyDescent="0.3">
      <c r="A16" t="s">
        <v>49</v>
      </c>
      <c r="B16" s="1">
        <v>45494</v>
      </c>
      <c r="C16" t="s">
        <v>20</v>
      </c>
      <c r="D16" t="s">
        <v>21</v>
      </c>
      <c r="E16" t="s">
        <v>16</v>
      </c>
      <c r="F16" t="s">
        <v>17</v>
      </c>
      <c r="G16" t="s">
        <v>50</v>
      </c>
      <c r="H16">
        <v>5181</v>
      </c>
      <c r="I16">
        <v>5</v>
      </c>
    </row>
    <row r="17" spans="1:9" x14ac:dyDescent="0.3">
      <c r="A17" t="s">
        <v>51</v>
      </c>
      <c r="B17" s="1">
        <v>45674</v>
      </c>
      <c r="C17" t="s">
        <v>52</v>
      </c>
      <c r="D17" t="s">
        <v>53</v>
      </c>
      <c r="E17" t="s">
        <v>12</v>
      </c>
      <c r="F17" t="s">
        <v>13</v>
      </c>
      <c r="G17" t="s">
        <v>50</v>
      </c>
      <c r="H17">
        <v>19621</v>
      </c>
      <c r="I17">
        <v>7</v>
      </c>
    </row>
    <row r="18" spans="1:9" x14ac:dyDescent="0.3">
      <c r="A18" t="s">
        <v>54</v>
      </c>
      <c r="B18" s="1">
        <v>45552</v>
      </c>
      <c r="C18" t="s">
        <v>44</v>
      </c>
      <c r="D18" t="s">
        <v>45</v>
      </c>
      <c r="E18" t="s">
        <v>12</v>
      </c>
      <c r="F18" t="s">
        <v>55</v>
      </c>
      <c r="G18" t="s">
        <v>50</v>
      </c>
      <c r="H18">
        <v>3478</v>
      </c>
      <c r="I18">
        <v>1</v>
      </c>
    </row>
    <row r="19" spans="1:9" x14ac:dyDescent="0.3">
      <c r="A19" t="s">
        <v>56</v>
      </c>
      <c r="B19" s="1">
        <v>45697</v>
      </c>
      <c r="C19" t="s">
        <v>10</v>
      </c>
      <c r="D19" t="s">
        <v>11</v>
      </c>
      <c r="E19" t="s">
        <v>12</v>
      </c>
      <c r="F19" t="s">
        <v>55</v>
      </c>
      <c r="G19" t="s">
        <v>50</v>
      </c>
      <c r="H19">
        <v>20043</v>
      </c>
      <c r="I19">
        <v>2</v>
      </c>
    </row>
    <row r="20" spans="1:9" x14ac:dyDescent="0.3">
      <c r="A20" t="s">
        <v>57</v>
      </c>
      <c r="B20" s="1">
        <v>45562</v>
      </c>
      <c r="C20" t="s">
        <v>24</v>
      </c>
      <c r="D20" t="s">
        <v>25</v>
      </c>
      <c r="E20" t="s">
        <v>29</v>
      </c>
      <c r="F20" t="s">
        <v>58</v>
      </c>
      <c r="G20" t="s">
        <v>27</v>
      </c>
      <c r="H20">
        <v>18628</v>
      </c>
      <c r="I20">
        <v>1</v>
      </c>
    </row>
    <row r="21" spans="1:9" x14ac:dyDescent="0.3">
      <c r="A21" t="s">
        <v>59</v>
      </c>
      <c r="B21" s="1">
        <v>45685</v>
      </c>
      <c r="C21" t="s">
        <v>10</v>
      </c>
      <c r="D21" t="s">
        <v>11</v>
      </c>
      <c r="E21" t="s">
        <v>16</v>
      </c>
      <c r="F21" t="s">
        <v>39</v>
      </c>
      <c r="G21" t="s">
        <v>27</v>
      </c>
      <c r="H21">
        <v>4155</v>
      </c>
      <c r="I21">
        <v>5</v>
      </c>
    </row>
    <row r="22" spans="1:9" x14ac:dyDescent="0.3">
      <c r="A22" t="s">
        <v>60</v>
      </c>
      <c r="B22" s="1">
        <v>45293</v>
      </c>
      <c r="C22" t="s">
        <v>24</v>
      </c>
      <c r="D22" t="s">
        <v>25</v>
      </c>
      <c r="E22" t="s">
        <v>12</v>
      </c>
      <c r="F22" t="s">
        <v>26</v>
      </c>
      <c r="G22" t="s">
        <v>27</v>
      </c>
      <c r="H22">
        <v>16903</v>
      </c>
      <c r="I22">
        <v>3</v>
      </c>
    </row>
    <row r="23" spans="1:9" x14ac:dyDescent="0.3">
      <c r="A23" t="s">
        <v>61</v>
      </c>
      <c r="B23" s="1">
        <v>45722</v>
      </c>
      <c r="C23" t="s">
        <v>10</v>
      </c>
      <c r="D23" t="s">
        <v>11</v>
      </c>
      <c r="E23" t="s">
        <v>16</v>
      </c>
      <c r="F23" t="s">
        <v>39</v>
      </c>
      <c r="G23" t="s">
        <v>14</v>
      </c>
      <c r="H23">
        <v>5508</v>
      </c>
      <c r="I23">
        <v>6</v>
      </c>
    </row>
    <row r="24" spans="1:9" x14ac:dyDescent="0.3">
      <c r="A24" t="s">
        <v>62</v>
      </c>
      <c r="B24" s="1">
        <v>45598</v>
      </c>
      <c r="C24" t="s">
        <v>52</v>
      </c>
      <c r="D24" t="s">
        <v>53</v>
      </c>
      <c r="E24" t="s">
        <v>16</v>
      </c>
      <c r="F24" t="s">
        <v>22</v>
      </c>
      <c r="G24" t="s">
        <v>27</v>
      </c>
      <c r="H24">
        <v>16510</v>
      </c>
      <c r="I24">
        <v>1</v>
      </c>
    </row>
    <row r="25" spans="1:9" x14ac:dyDescent="0.3">
      <c r="A25" t="s">
        <v>63</v>
      </c>
      <c r="B25" s="1">
        <v>45414</v>
      </c>
      <c r="C25" t="s">
        <v>10</v>
      </c>
      <c r="D25" t="s">
        <v>11</v>
      </c>
      <c r="E25" t="s">
        <v>29</v>
      </c>
      <c r="F25" t="s">
        <v>30</v>
      </c>
      <c r="G25" t="s">
        <v>18</v>
      </c>
      <c r="H25">
        <v>8392</v>
      </c>
      <c r="I25">
        <v>10</v>
      </c>
    </row>
    <row r="26" spans="1:9" x14ac:dyDescent="0.3">
      <c r="A26" t="s">
        <v>64</v>
      </c>
      <c r="B26" s="1">
        <v>45709</v>
      </c>
      <c r="C26" t="s">
        <v>10</v>
      </c>
      <c r="D26" t="s">
        <v>11</v>
      </c>
      <c r="E26" t="s">
        <v>12</v>
      </c>
      <c r="F26" t="s">
        <v>26</v>
      </c>
      <c r="G26" t="s">
        <v>18</v>
      </c>
      <c r="H26">
        <v>17955</v>
      </c>
      <c r="I26">
        <v>3</v>
      </c>
    </row>
    <row r="27" spans="1:9" x14ac:dyDescent="0.3">
      <c r="A27" t="s">
        <v>65</v>
      </c>
      <c r="B27" s="1">
        <v>45776</v>
      </c>
      <c r="C27" t="s">
        <v>52</v>
      </c>
      <c r="D27" t="s">
        <v>53</v>
      </c>
      <c r="E27" t="s">
        <v>16</v>
      </c>
      <c r="F27" t="s">
        <v>17</v>
      </c>
      <c r="G27" t="s">
        <v>14</v>
      </c>
      <c r="H27">
        <v>9185</v>
      </c>
      <c r="I27">
        <v>9</v>
      </c>
    </row>
    <row r="28" spans="1:9" x14ac:dyDescent="0.3">
      <c r="A28" t="s">
        <v>66</v>
      </c>
      <c r="B28" s="1">
        <v>45657</v>
      </c>
      <c r="C28" t="s">
        <v>24</v>
      </c>
      <c r="D28" t="s">
        <v>25</v>
      </c>
      <c r="E28" t="s">
        <v>12</v>
      </c>
      <c r="F28" t="s">
        <v>55</v>
      </c>
      <c r="G28" t="s">
        <v>27</v>
      </c>
      <c r="H28">
        <v>13574</v>
      </c>
      <c r="I28">
        <v>6</v>
      </c>
    </row>
    <row r="29" spans="1:9" x14ac:dyDescent="0.3">
      <c r="A29" t="s">
        <v>67</v>
      </c>
      <c r="B29" s="1">
        <v>45353</v>
      </c>
      <c r="C29" t="s">
        <v>68</v>
      </c>
      <c r="D29" t="s">
        <v>69</v>
      </c>
      <c r="E29" t="s">
        <v>16</v>
      </c>
      <c r="F29" t="s">
        <v>17</v>
      </c>
      <c r="G29" t="s">
        <v>14</v>
      </c>
      <c r="H29">
        <v>7862</v>
      </c>
      <c r="I29">
        <v>2</v>
      </c>
    </row>
    <row r="30" spans="1:9" x14ac:dyDescent="0.3">
      <c r="A30" t="s">
        <v>70</v>
      </c>
      <c r="B30" s="1">
        <v>45593</v>
      </c>
      <c r="C30" t="s">
        <v>44</v>
      </c>
      <c r="D30" t="s">
        <v>45</v>
      </c>
      <c r="E30" t="s">
        <v>12</v>
      </c>
      <c r="F30" t="s">
        <v>55</v>
      </c>
      <c r="G30" t="s">
        <v>14</v>
      </c>
      <c r="H30">
        <v>735</v>
      </c>
      <c r="I30">
        <v>2</v>
      </c>
    </row>
    <row r="31" spans="1:9" x14ac:dyDescent="0.3">
      <c r="A31" t="s">
        <v>71</v>
      </c>
      <c r="B31" s="1">
        <v>45755</v>
      </c>
      <c r="C31" t="s">
        <v>34</v>
      </c>
      <c r="D31" t="s">
        <v>35</v>
      </c>
      <c r="E31" t="s">
        <v>12</v>
      </c>
      <c r="F31" t="s">
        <v>72</v>
      </c>
      <c r="G31" t="s">
        <v>18</v>
      </c>
      <c r="H31">
        <v>11327</v>
      </c>
      <c r="I31">
        <v>2</v>
      </c>
    </row>
    <row r="32" spans="1:9" x14ac:dyDescent="0.3">
      <c r="A32" t="s">
        <v>73</v>
      </c>
      <c r="B32" s="1">
        <v>45401</v>
      </c>
      <c r="C32" t="s">
        <v>20</v>
      </c>
      <c r="D32" t="s">
        <v>21</v>
      </c>
      <c r="E32" t="s">
        <v>29</v>
      </c>
      <c r="F32" t="s">
        <v>58</v>
      </c>
      <c r="G32" t="s">
        <v>14</v>
      </c>
      <c r="H32">
        <v>24202</v>
      </c>
      <c r="I32">
        <v>10</v>
      </c>
    </row>
    <row r="33" spans="1:9" x14ac:dyDescent="0.3">
      <c r="A33" t="s">
        <v>74</v>
      </c>
      <c r="B33" s="1">
        <v>45705</v>
      </c>
      <c r="C33" t="s">
        <v>68</v>
      </c>
      <c r="D33" t="s">
        <v>69</v>
      </c>
      <c r="E33" t="s">
        <v>12</v>
      </c>
      <c r="F33" t="s">
        <v>26</v>
      </c>
      <c r="G33" t="s">
        <v>50</v>
      </c>
      <c r="H33">
        <v>6739</v>
      </c>
      <c r="I33">
        <v>2</v>
      </c>
    </row>
    <row r="34" spans="1:9" x14ac:dyDescent="0.3">
      <c r="A34" t="s">
        <v>75</v>
      </c>
      <c r="B34" s="1">
        <v>45473</v>
      </c>
      <c r="C34" t="s">
        <v>10</v>
      </c>
      <c r="D34" t="s">
        <v>11</v>
      </c>
      <c r="E34" t="s">
        <v>16</v>
      </c>
      <c r="F34" t="s">
        <v>17</v>
      </c>
      <c r="G34" t="s">
        <v>50</v>
      </c>
      <c r="H34">
        <v>13970</v>
      </c>
      <c r="I34">
        <v>8</v>
      </c>
    </row>
    <row r="35" spans="1:9" x14ac:dyDescent="0.3">
      <c r="A35" t="s">
        <v>76</v>
      </c>
      <c r="B35" s="1">
        <v>45323</v>
      </c>
      <c r="C35" t="s">
        <v>34</v>
      </c>
      <c r="D35" t="s">
        <v>35</v>
      </c>
      <c r="E35" t="s">
        <v>16</v>
      </c>
      <c r="F35" t="s">
        <v>22</v>
      </c>
      <c r="G35" t="s">
        <v>50</v>
      </c>
      <c r="H35">
        <v>24362</v>
      </c>
      <c r="I35">
        <v>6</v>
      </c>
    </row>
    <row r="36" spans="1:9" x14ac:dyDescent="0.3">
      <c r="A36" t="s">
        <v>77</v>
      </c>
      <c r="B36" s="1">
        <v>45389</v>
      </c>
      <c r="C36" t="s">
        <v>10</v>
      </c>
      <c r="D36" t="s">
        <v>11</v>
      </c>
      <c r="E36" t="s">
        <v>12</v>
      </c>
      <c r="F36" t="s">
        <v>55</v>
      </c>
      <c r="G36" t="s">
        <v>50</v>
      </c>
      <c r="H36">
        <v>5093</v>
      </c>
      <c r="I36">
        <v>7</v>
      </c>
    </row>
    <row r="37" spans="1:9" x14ac:dyDescent="0.3">
      <c r="A37" t="s">
        <v>78</v>
      </c>
      <c r="B37" s="1">
        <v>45419</v>
      </c>
      <c r="C37" t="s">
        <v>52</v>
      </c>
      <c r="D37" t="s">
        <v>53</v>
      </c>
      <c r="E37" t="s">
        <v>29</v>
      </c>
      <c r="F37" t="s">
        <v>58</v>
      </c>
      <c r="G37" t="s">
        <v>18</v>
      </c>
      <c r="H37">
        <v>15020</v>
      </c>
      <c r="I37">
        <v>9</v>
      </c>
    </row>
    <row r="38" spans="1:9" x14ac:dyDescent="0.3">
      <c r="A38" t="s">
        <v>79</v>
      </c>
      <c r="B38" s="1">
        <v>45788</v>
      </c>
      <c r="C38" t="s">
        <v>10</v>
      </c>
      <c r="D38" t="s">
        <v>11</v>
      </c>
      <c r="E38" t="s">
        <v>12</v>
      </c>
      <c r="F38" t="s">
        <v>72</v>
      </c>
      <c r="G38" t="s">
        <v>18</v>
      </c>
      <c r="H38">
        <v>8245</v>
      </c>
      <c r="I38">
        <v>3</v>
      </c>
    </row>
    <row r="39" spans="1:9" x14ac:dyDescent="0.3">
      <c r="A39" t="s">
        <v>80</v>
      </c>
      <c r="B39" s="1">
        <v>45401</v>
      </c>
      <c r="C39" t="s">
        <v>24</v>
      </c>
      <c r="D39" t="s">
        <v>25</v>
      </c>
      <c r="E39" t="s">
        <v>29</v>
      </c>
      <c r="F39" t="s">
        <v>58</v>
      </c>
      <c r="G39" t="s">
        <v>50</v>
      </c>
      <c r="H39">
        <v>2421</v>
      </c>
      <c r="I39">
        <v>3</v>
      </c>
    </row>
    <row r="40" spans="1:9" x14ac:dyDescent="0.3">
      <c r="A40" t="s">
        <v>81</v>
      </c>
      <c r="B40" s="1">
        <v>45427</v>
      </c>
      <c r="C40" t="s">
        <v>24</v>
      </c>
      <c r="D40" t="s">
        <v>25</v>
      </c>
      <c r="E40" t="s">
        <v>12</v>
      </c>
      <c r="F40" t="s">
        <v>26</v>
      </c>
      <c r="G40" t="s">
        <v>50</v>
      </c>
      <c r="H40">
        <v>9847</v>
      </c>
      <c r="I40">
        <v>7</v>
      </c>
    </row>
    <row r="41" spans="1:9" x14ac:dyDescent="0.3">
      <c r="A41" t="s">
        <v>82</v>
      </c>
      <c r="B41" s="1">
        <v>45443</v>
      </c>
      <c r="C41" t="s">
        <v>68</v>
      </c>
      <c r="D41" t="s">
        <v>69</v>
      </c>
      <c r="E41" t="s">
        <v>12</v>
      </c>
      <c r="F41" t="s">
        <v>55</v>
      </c>
      <c r="G41" t="s">
        <v>14</v>
      </c>
      <c r="H41">
        <v>2416</v>
      </c>
      <c r="I41">
        <v>10</v>
      </c>
    </row>
    <row r="42" spans="1:9" x14ac:dyDescent="0.3">
      <c r="A42" t="s">
        <v>83</v>
      </c>
      <c r="B42" s="1">
        <v>45321</v>
      </c>
      <c r="C42" t="s">
        <v>34</v>
      </c>
      <c r="D42" t="s">
        <v>35</v>
      </c>
      <c r="E42" t="s">
        <v>16</v>
      </c>
      <c r="F42" t="s">
        <v>39</v>
      </c>
      <c r="G42" t="s">
        <v>18</v>
      </c>
      <c r="H42">
        <v>19642</v>
      </c>
      <c r="I42">
        <v>8</v>
      </c>
    </row>
    <row r="43" spans="1:9" x14ac:dyDescent="0.3">
      <c r="A43" t="s">
        <v>84</v>
      </c>
      <c r="B43" s="1">
        <v>45727</v>
      </c>
      <c r="C43" t="s">
        <v>52</v>
      </c>
      <c r="D43" t="s">
        <v>53</v>
      </c>
      <c r="E43" t="s">
        <v>12</v>
      </c>
      <c r="F43" t="s">
        <v>72</v>
      </c>
      <c r="G43" t="s">
        <v>14</v>
      </c>
      <c r="H43">
        <v>2745</v>
      </c>
      <c r="I43">
        <v>10</v>
      </c>
    </row>
    <row r="44" spans="1:9" x14ac:dyDescent="0.3">
      <c r="A44" t="s">
        <v>85</v>
      </c>
      <c r="B44" s="1">
        <v>45498</v>
      </c>
      <c r="C44" t="s">
        <v>10</v>
      </c>
      <c r="D44" t="s">
        <v>11</v>
      </c>
      <c r="E44" t="s">
        <v>16</v>
      </c>
      <c r="F44" t="s">
        <v>41</v>
      </c>
      <c r="G44" t="s">
        <v>18</v>
      </c>
      <c r="H44">
        <v>19167</v>
      </c>
      <c r="I44">
        <v>4</v>
      </c>
    </row>
    <row r="45" spans="1:9" x14ac:dyDescent="0.3">
      <c r="A45" t="s">
        <v>86</v>
      </c>
      <c r="B45" s="1">
        <v>45506</v>
      </c>
      <c r="C45" t="s">
        <v>34</v>
      </c>
      <c r="D45" t="s">
        <v>35</v>
      </c>
      <c r="E45" t="s">
        <v>16</v>
      </c>
      <c r="F45" t="s">
        <v>22</v>
      </c>
      <c r="G45" t="s">
        <v>27</v>
      </c>
      <c r="H45">
        <v>9044</v>
      </c>
      <c r="I45">
        <v>4</v>
      </c>
    </row>
    <row r="46" spans="1:9" x14ac:dyDescent="0.3">
      <c r="A46" t="s">
        <v>87</v>
      </c>
      <c r="B46" s="1">
        <v>45494</v>
      </c>
      <c r="C46" t="s">
        <v>44</v>
      </c>
      <c r="D46" t="s">
        <v>45</v>
      </c>
      <c r="E46" t="s">
        <v>12</v>
      </c>
      <c r="F46" t="s">
        <v>13</v>
      </c>
      <c r="G46" t="s">
        <v>14</v>
      </c>
      <c r="H46">
        <v>22509</v>
      </c>
      <c r="I46">
        <v>5</v>
      </c>
    </row>
    <row r="47" spans="1:9" x14ac:dyDescent="0.3">
      <c r="A47" t="s">
        <v>88</v>
      </c>
      <c r="B47" s="1">
        <v>45296</v>
      </c>
      <c r="C47" t="s">
        <v>68</v>
      </c>
      <c r="D47" t="s">
        <v>69</v>
      </c>
      <c r="E47" t="s">
        <v>29</v>
      </c>
      <c r="F47" t="s">
        <v>32</v>
      </c>
      <c r="G47" t="s">
        <v>50</v>
      </c>
      <c r="H47">
        <v>20854</v>
      </c>
      <c r="I47">
        <v>10</v>
      </c>
    </row>
    <row r="48" spans="1:9" x14ac:dyDescent="0.3">
      <c r="A48" t="s">
        <v>89</v>
      </c>
      <c r="B48" s="1">
        <v>45551</v>
      </c>
      <c r="C48" t="s">
        <v>10</v>
      </c>
      <c r="D48" t="s">
        <v>11</v>
      </c>
      <c r="E48" t="s">
        <v>12</v>
      </c>
      <c r="F48" t="s">
        <v>55</v>
      </c>
      <c r="G48" t="s">
        <v>27</v>
      </c>
      <c r="H48">
        <v>4840</v>
      </c>
      <c r="I48">
        <v>6</v>
      </c>
    </row>
    <row r="49" spans="1:9" x14ac:dyDescent="0.3">
      <c r="A49" t="s">
        <v>90</v>
      </c>
      <c r="B49" s="1">
        <v>45437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>
        <v>14858</v>
      </c>
      <c r="I49">
        <v>9</v>
      </c>
    </row>
    <row r="50" spans="1:9" x14ac:dyDescent="0.3">
      <c r="A50" t="s">
        <v>91</v>
      </c>
      <c r="B50" s="1">
        <v>45633</v>
      </c>
      <c r="C50" t="s">
        <v>37</v>
      </c>
      <c r="D50" t="s">
        <v>38</v>
      </c>
      <c r="E50" t="s">
        <v>16</v>
      </c>
      <c r="F50" t="s">
        <v>22</v>
      </c>
      <c r="G50" t="s">
        <v>27</v>
      </c>
      <c r="H50">
        <v>22237</v>
      </c>
      <c r="I50">
        <v>2</v>
      </c>
    </row>
    <row r="51" spans="1:9" x14ac:dyDescent="0.3">
      <c r="A51" t="s">
        <v>92</v>
      </c>
      <c r="B51" s="1">
        <v>45747</v>
      </c>
      <c r="C51" t="s">
        <v>52</v>
      </c>
      <c r="D51" t="s">
        <v>53</v>
      </c>
      <c r="E51" t="s">
        <v>29</v>
      </c>
      <c r="F51" t="s">
        <v>32</v>
      </c>
      <c r="G51" t="s">
        <v>18</v>
      </c>
      <c r="H51">
        <v>24827</v>
      </c>
      <c r="I51">
        <v>9</v>
      </c>
    </row>
    <row r="52" spans="1:9" x14ac:dyDescent="0.3">
      <c r="A52" t="s">
        <v>93</v>
      </c>
      <c r="B52" s="1">
        <v>45601</v>
      </c>
      <c r="C52" t="s">
        <v>52</v>
      </c>
      <c r="D52" t="s">
        <v>53</v>
      </c>
      <c r="E52" t="s">
        <v>29</v>
      </c>
      <c r="F52" t="s">
        <v>30</v>
      </c>
      <c r="G52" t="s">
        <v>14</v>
      </c>
      <c r="H52">
        <v>24014</v>
      </c>
      <c r="I52">
        <v>6</v>
      </c>
    </row>
    <row r="53" spans="1:9" x14ac:dyDescent="0.3">
      <c r="A53" t="s">
        <v>94</v>
      </c>
      <c r="B53" s="1">
        <v>45550</v>
      </c>
      <c r="C53" t="s">
        <v>20</v>
      </c>
      <c r="D53" t="s">
        <v>21</v>
      </c>
      <c r="E53" t="s">
        <v>16</v>
      </c>
      <c r="F53" t="s">
        <v>39</v>
      </c>
      <c r="G53" t="s">
        <v>50</v>
      </c>
      <c r="H53">
        <v>8728</v>
      </c>
      <c r="I53">
        <v>1</v>
      </c>
    </row>
    <row r="54" spans="1:9" x14ac:dyDescent="0.3">
      <c r="A54" t="s">
        <v>95</v>
      </c>
      <c r="B54" s="1">
        <v>45716</v>
      </c>
      <c r="C54" t="s">
        <v>10</v>
      </c>
      <c r="D54" t="s">
        <v>11</v>
      </c>
      <c r="E54" t="s">
        <v>16</v>
      </c>
      <c r="F54" t="s">
        <v>17</v>
      </c>
      <c r="G54" t="s">
        <v>27</v>
      </c>
      <c r="H54">
        <v>1944</v>
      </c>
      <c r="I54">
        <v>1</v>
      </c>
    </row>
    <row r="55" spans="1:9" x14ac:dyDescent="0.3">
      <c r="A55" t="s">
        <v>96</v>
      </c>
      <c r="B55" s="1">
        <v>45374</v>
      </c>
      <c r="C55" t="s">
        <v>44</v>
      </c>
      <c r="D55" t="s">
        <v>45</v>
      </c>
      <c r="E55" t="s">
        <v>12</v>
      </c>
      <c r="F55" t="s">
        <v>13</v>
      </c>
      <c r="G55" t="s">
        <v>50</v>
      </c>
      <c r="H55">
        <v>18577</v>
      </c>
      <c r="I55">
        <v>7</v>
      </c>
    </row>
    <row r="56" spans="1:9" x14ac:dyDescent="0.3">
      <c r="A56" t="s">
        <v>97</v>
      </c>
      <c r="B56" s="1">
        <v>45775</v>
      </c>
      <c r="C56" t="s">
        <v>34</v>
      </c>
      <c r="D56" t="s">
        <v>35</v>
      </c>
      <c r="E56" t="s">
        <v>12</v>
      </c>
      <c r="F56" t="s">
        <v>72</v>
      </c>
      <c r="G56" t="s">
        <v>14</v>
      </c>
      <c r="H56">
        <v>18377</v>
      </c>
      <c r="I56">
        <v>1</v>
      </c>
    </row>
    <row r="57" spans="1:9" x14ac:dyDescent="0.3">
      <c r="A57" t="s">
        <v>98</v>
      </c>
      <c r="B57" s="1">
        <v>45512</v>
      </c>
      <c r="C57" t="s">
        <v>44</v>
      </c>
      <c r="D57" t="s">
        <v>45</v>
      </c>
      <c r="E57" t="s">
        <v>16</v>
      </c>
      <c r="F57" t="s">
        <v>41</v>
      </c>
      <c r="G57" t="s">
        <v>14</v>
      </c>
      <c r="H57">
        <v>1870</v>
      </c>
      <c r="I57">
        <v>5</v>
      </c>
    </row>
    <row r="58" spans="1:9" x14ac:dyDescent="0.3">
      <c r="A58" t="s">
        <v>99</v>
      </c>
      <c r="B58" s="1">
        <v>45399</v>
      </c>
      <c r="C58" t="s">
        <v>44</v>
      </c>
      <c r="D58" t="s">
        <v>45</v>
      </c>
      <c r="E58" t="s">
        <v>12</v>
      </c>
      <c r="F58" t="s">
        <v>13</v>
      </c>
      <c r="G58" t="s">
        <v>14</v>
      </c>
      <c r="H58">
        <v>22354</v>
      </c>
      <c r="I58">
        <v>2</v>
      </c>
    </row>
    <row r="59" spans="1:9" x14ac:dyDescent="0.3">
      <c r="A59" t="s">
        <v>100</v>
      </c>
      <c r="B59" s="1">
        <v>45790</v>
      </c>
      <c r="C59" t="s">
        <v>44</v>
      </c>
      <c r="D59" t="s">
        <v>45</v>
      </c>
      <c r="E59" t="s">
        <v>16</v>
      </c>
      <c r="F59" t="s">
        <v>17</v>
      </c>
      <c r="G59" t="s">
        <v>14</v>
      </c>
      <c r="H59">
        <v>8257</v>
      </c>
      <c r="I59">
        <v>3</v>
      </c>
    </row>
    <row r="60" spans="1:9" x14ac:dyDescent="0.3">
      <c r="A60" t="s">
        <v>101</v>
      </c>
      <c r="B60" s="1">
        <v>45383</v>
      </c>
      <c r="C60" t="s">
        <v>52</v>
      </c>
      <c r="D60" t="s">
        <v>53</v>
      </c>
      <c r="E60" t="s">
        <v>29</v>
      </c>
      <c r="F60" t="s">
        <v>32</v>
      </c>
      <c r="G60" t="s">
        <v>27</v>
      </c>
      <c r="H60">
        <v>13991</v>
      </c>
      <c r="I60">
        <v>4</v>
      </c>
    </row>
    <row r="61" spans="1:9" x14ac:dyDescent="0.3">
      <c r="A61" t="s">
        <v>102</v>
      </c>
      <c r="B61" s="1">
        <v>45487</v>
      </c>
      <c r="C61" t="s">
        <v>37</v>
      </c>
      <c r="D61" t="s">
        <v>38</v>
      </c>
      <c r="E61" t="s">
        <v>12</v>
      </c>
      <c r="F61" t="s">
        <v>72</v>
      </c>
      <c r="G61" t="s">
        <v>18</v>
      </c>
      <c r="H61">
        <v>15923</v>
      </c>
      <c r="I61">
        <v>4</v>
      </c>
    </row>
    <row r="62" spans="1:9" x14ac:dyDescent="0.3">
      <c r="A62" t="s">
        <v>103</v>
      </c>
      <c r="B62" s="1">
        <v>45448</v>
      </c>
      <c r="C62" t="s">
        <v>20</v>
      </c>
      <c r="D62" t="s">
        <v>21</v>
      </c>
      <c r="E62" t="s">
        <v>29</v>
      </c>
      <c r="F62" t="s">
        <v>30</v>
      </c>
      <c r="G62" t="s">
        <v>14</v>
      </c>
      <c r="H62">
        <v>7804</v>
      </c>
      <c r="I62">
        <v>1</v>
      </c>
    </row>
    <row r="63" spans="1:9" x14ac:dyDescent="0.3">
      <c r="A63" t="s">
        <v>104</v>
      </c>
      <c r="B63" s="1">
        <v>45434</v>
      </c>
      <c r="C63" t="s">
        <v>20</v>
      </c>
      <c r="D63" t="s">
        <v>21</v>
      </c>
      <c r="E63" t="s">
        <v>29</v>
      </c>
      <c r="F63" t="s">
        <v>30</v>
      </c>
      <c r="G63" t="s">
        <v>18</v>
      </c>
      <c r="H63">
        <v>9646</v>
      </c>
      <c r="I63">
        <v>6</v>
      </c>
    </row>
    <row r="64" spans="1:9" x14ac:dyDescent="0.3">
      <c r="A64" t="s">
        <v>105</v>
      </c>
      <c r="B64" s="1">
        <v>45772</v>
      </c>
      <c r="C64" t="s">
        <v>24</v>
      </c>
      <c r="D64" t="s">
        <v>25</v>
      </c>
      <c r="E64" t="s">
        <v>16</v>
      </c>
      <c r="F64" t="s">
        <v>39</v>
      </c>
      <c r="G64" t="s">
        <v>18</v>
      </c>
      <c r="H64">
        <v>4279</v>
      </c>
      <c r="I64">
        <v>5</v>
      </c>
    </row>
    <row r="65" spans="1:9" x14ac:dyDescent="0.3">
      <c r="A65" t="s">
        <v>106</v>
      </c>
      <c r="B65" s="1">
        <v>45311</v>
      </c>
      <c r="C65" t="s">
        <v>52</v>
      </c>
      <c r="D65" t="s">
        <v>53</v>
      </c>
      <c r="E65" t="s">
        <v>16</v>
      </c>
      <c r="F65" t="s">
        <v>39</v>
      </c>
      <c r="G65" t="s">
        <v>18</v>
      </c>
      <c r="H65">
        <v>20048</v>
      </c>
      <c r="I65">
        <v>7</v>
      </c>
    </row>
    <row r="66" spans="1:9" x14ac:dyDescent="0.3">
      <c r="A66" t="s">
        <v>107</v>
      </c>
      <c r="B66" s="1">
        <v>45515</v>
      </c>
      <c r="C66" t="s">
        <v>44</v>
      </c>
      <c r="D66" t="s">
        <v>45</v>
      </c>
      <c r="E66" t="s">
        <v>16</v>
      </c>
      <c r="F66" t="s">
        <v>39</v>
      </c>
      <c r="G66" t="s">
        <v>18</v>
      </c>
      <c r="H66">
        <v>13122</v>
      </c>
      <c r="I66">
        <v>10</v>
      </c>
    </row>
    <row r="67" spans="1:9" x14ac:dyDescent="0.3">
      <c r="A67" t="s">
        <v>108</v>
      </c>
      <c r="B67" s="1">
        <v>45654</v>
      </c>
      <c r="C67" t="s">
        <v>20</v>
      </c>
      <c r="D67" t="s">
        <v>21</v>
      </c>
      <c r="E67" t="s">
        <v>29</v>
      </c>
      <c r="F67" t="s">
        <v>32</v>
      </c>
      <c r="G67" t="s">
        <v>50</v>
      </c>
      <c r="H67">
        <v>555</v>
      </c>
      <c r="I67">
        <v>9</v>
      </c>
    </row>
    <row r="68" spans="1:9" x14ac:dyDescent="0.3">
      <c r="A68" t="s">
        <v>109</v>
      </c>
      <c r="B68" s="1">
        <v>45327</v>
      </c>
      <c r="C68" t="s">
        <v>20</v>
      </c>
      <c r="D68" t="s">
        <v>21</v>
      </c>
      <c r="E68" t="s">
        <v>29</v>
      </c>
      <c r="F68" t="s">
        <v>58</v>
      </c>
      <c r="G68" t="s">
        <v>27</v>
      </c>
      <c r="H68">
        <v>20919</v>
      </c>
      <c r="I68">
        <v>6</v>
      </c>
    </row>
    <row r="69" spans="1:9" x14ac:dyDescent="0.3">
      <c r="A69" t="s">
        <v>110</v>
      </c>
      <c r="B69" s="1">
        <v>45551</v>
      </c>
      <c r="C69" t="s">
        <v>10</v>
      </c>
      <c r="D69" t="s">
        <v>11</v>
      </c>
      <c r="E69" t="s">
        <v>16</v>
      </c>
      <c r="F69" t="s">
        <v>39</v>
      </c>
      <c r="G69" t="s">
        <v>27</v>
      </c>
      <c r="H69">
        <v>22352</v>
      </c>
      <c r="I69">
        <v>7</v>
      </c>
    </row>
    <row r="70" spans="1:9" x14ac:dyDescent="0.3">
      <c r="A70" t="s">
        <v>111</v>
      </c>
      <c r="B70" s="1">
        <v>45575</v>
      </c>
      <c r="C70" t="s">
        <v>44</v>
      </c>
      <c r="D70" t="s">
        <v>45</v>
      </c>
      <c r="E70" t="s">
        <v>29</v>
      </c>
      <c r="F70" t="s">
        <v>30</v>
      </c>
      <c r="G70" t="s">
        <v>14</v>
      </c>
      <c r="H70">
        <v>6786</v>
      </c>
      <c r="I70">
        <v>7</v>
      </c>
    </row>
    <row r="71" spans="1:9" x14ac:dyDescent="0.3">
      <c r="A71" t="s">
        <v>112</v>
      </c>
      <c r="B71" s="1">
        <v>45607</v>
      </c>
      <c r="C71" t="s">
        <v>24</v>
      </c>
      <c r="D71" t="s">
        <v>25</v>
      </c>
      <c r="E71" t="s">
        <v>16</v>
      </c>
      <c r="F71" t="s">
        <v>41</v>
      </c>
      <c r="G71" t="s">
        <v>27</v>
      </c>
      <c r="H71">
        <v>13806</v>
      </c>
      <c r="I71">
        <v>9</v>
      </c>
    </row>
    <row r="72" spans="1:9" x14ac:dyDescent="0.3">
      <c r="A72" t="s">
        <v>113</v>
      </c>
      <c r="B72" s="1">
        <v>45399</v>
      </c>
      <c r="C72" t="s">
        <v>34</v>
      </c>
      <c r="D72" t="s">
        <v>35</v>
      </c>
      <c r="E72" t="s">
        <v>29</v>
      </c>
      <c r="F72" t="s">
        <v>30</v>
      </c>
      <c r="G72" t="s">
        <v>50</v>
      </c>
      <c r="H72">
        <v>19504</v>
      </c>
      <c r="I72">
        <v>10</v>
      </c>
    </row>
    <row r="73" spans="1:9" x14ac:dyDescent="0.3">
      <c r="A73" t="s">
        <v>114</v>
      </c>
      <c r="B73" s="1">
        <v>45518</v>
      </c>
      <c r="C73" t="s">
        <v>44</v>
      </c>
      <c r="D73" t="s">
        <v>45</v>
      </c>
      <c r="E73" t="s">
        <v>29</v>
      </c>
      <c r="F73" t="s">
        <v>58</v>
      </c>
      <c r="G73" t="s">
        <v>14</v>
      </c>
      <c r="H73">
        <v>17250</v>
      </c>
      <c r="I73">
        <v>8</v>
      </c>
    </row>
    <row r="74" spans="1:9" x14ac:dyDescent="0.3">
      <c r="A74" t="s">
        <v>115</v>
      </c>
      <c r="B74" s="1">
        <v>45437</v>
      </c>
      <c r="C74" t="s">
        <v>52</v>
      </c>
      <c r="D74" t="s">
        <v>53</v>
      </c>
      <c r="E74" t="s">
        <v>16</v>
      </c>
      <c r="F74" t="s">
        <v>22</v>
      </c>
      <c r="G74" t="s">
        <v>27</v>
      </c>
      <c r="H74">
        <v>3560</v>
      </c>
      <c r="I74">
        <v>4</v>
      </c>
    </row>
    <row r="75" spans="1:9" x14ac:dyDescent="0.3">
      <c r="A75" t="s">
        <v>116</v>
      </c>
      <c r="B75" s="1">
        <v>45367</v>
      </c>
      <c r="C75" t="s">
        <v>37</v>
      </c>
      <c r="D75" t="s">
        <v>38</v>
      </c>
      <c r="E75" t="s">
        <v>12</v>
      </c>
      <c r="F75" t="s">
        <v>55</v>
      </c>
      <c r="G75" t="s">
        <v>18</v>
      </c>
      <c r="H75">
        <v>2014</v>
      </c>
      <c r="I75">
        <v>4</v>
      </c>
    </row>
    <row r="76" spans="1:9" x14ac:dyDescent="0.3">
      <c r="A76" t="s">
        <v>117</v>
      </c>
      <c r="B76" s="1">
        <v>45525</v>
      </c>
      <c r="C76" t="s">
        <v>68</v>
      </c>
      <c r="D76" t="s">
        <v>69</v>
      </c>
      <c r="E76" t="s">
        <v>16</v>
      </c>
      <c r="F76" t="s">
        <v>22</v>
      </c>
      <c r="G76" t="s">
        <v>50</v>
      </c>
      <c r="H76">
        <v>21136</v>
      </c>
      <c r="I76">
        <v>10</v>
      </c>
    </row>
    <row r="77" spans="1:9" x14ac:dyDescent="0.3">
      <c r="A77" t="s">
        <v>118</v>
      </c>
      <c r="B77" s="1">
        <v>45545</v>
      </c>
      <c r="C77" t="s">
        <v>20</v>
      </c>
      <c r="D77" t="s">
        <v>21</v>
      </c>
      <c r="E77" t="s">
        <v>16</v>
      </c>
      <c r="F77" t="s">
        <v>17</v>
      </c>
      <c r="G77" t="s">
        <v>50</v>
      </c>
      <c r="H77">
        <v>8494</v>
      </c>
      <c r="I77">
        <v>3</v>
      </c>
    </row>
    <row r="78" spans="1:9" x14ac:dyDescent="0.3">
      <c r="A78" t="s">
        <v>119</v>
      </c>
      <c r="B78" s="1">
        <v>45404</v>
      </c>
      <c r="C78" t="s">
        <v>34</v>
      </c>
      <c r="D78" t="s">
        <v>35</v>
      </c>
      <c r="E78" t="s">
        <v>12</v>
      </c>
      <c r="F78" t="s">
        <v>26</v>
      </c>
      <c r="G78" t="s">
        <v>14</v>
      </c>
      <c r="H78">
        <v>23303</v>
      </c>
      <c r="I78">
        <v>9</v>
      </c>
    </row>
    <row r="79" spans="1:9" x14ac:dyDescent="0.3">
      <c r="A79" t="s">
        <v>120</v>
      </c>
      <c r="B79" s="1">
        <v>45761</v>
      </c>
      <c r="C79" t="s">
        <v>68</v>
      </c>
      <c r="D79" t="s">
        <v>69</v>
      </c>
      <c r="E79" t="s">
        <v>12</v>
      </c>
      <c r="F79" t="s">
        <v>55</v>
      </c>
      <c r="G79" t="s">
        <v>18</v>
      </c>
      <c r="H79">
        <v>15457</v>
      </c>
      <c r="I79">
        <v>3</v>
      </c>
    </row>
    <row r="80" spans="1:9" x14ac:dyDescent="0.3">
      <c r="A80" t="s">
        <v>121</v>
      </c>
      <c r="B80" s="1">
        <v>45778</v>
      </c>
      <c r="C80" t="s">
        <v>68</v>
      </c>
      <c r="D80" t="s">
        <v>69</v>
      </c>
      <c r="E80" t="s">
        <v>16</v>
      </c>
      <c r="F80" t="s">
        <v>39</v>
      </c>
      <c r="G80" t="s">
        <v>50</v>
      </c>
      <c r="H80">
        <v>20575</v>
      </c>
      <c r="I80">
        <v>9</v>
      </c>
    </row>
    <row r="81" spans="1:9" x14ac:dyDescent="0.3">
      <c r="A81" t="s">
        <v>122</v>
      </c>
      <c r="B81" s="1">
        <v>45751</v>
      </c>
      <c r="C81" t="s">
        <v>24</v>
      </c>
      <c r="D81" t="s">
        <v>25</v>
      </c>
      <c r="E81" t="s">
        <v>16</v>
      </c>
      <c r="F81" t="s">
        <v>17</v>
      </c>
      <c r="G81" t="s">
        <v>14</v>
      </c>
      <c r="H81">
        <v>24868</v>
      </c>
      <c r="I81">
        <v>8</v>
      </c>
    </row>
    <row r="82" spans="1:9" x14ac:dyDescent="0.3">
      <c r="A82" t="s">
        <v>123</v>
      </c>
      <c r="B82" s="1">
        <v>45722</v>
      </c>
      <c r="C82" t="s">
        <v>68</v>
      </c>
      <c r="D82" t="s">
        <v>69</v>
      </c>
      <c r="E82" t="s">
        <v>29</v>
      </c>
      <c r="F82" t="s">
        <v>124</v>
      </c>
      <c r="G82" t="s">
        <v>27</v>
      </c>
      <c r="H82">
        <v>17581</v>
      </c>
      <c r="I82">
        <v>8</v>
      </c>
    </row>
    <row r="83" spans="1:9" x14ac:dyDescent="0.3">
      <c r="A83" t="s">
        <v>125</v>
      </c>
      <c r="B83" s="1">
        <v>45331</v>
      </c>
      <c r="C83" t="s">
        <v>20</v>
      </c>
      <c r="D83" t="s">
        <v>21</v>
      </c>
      <c r="E83" t="s">
        <v>29</v>
      </c>
      <c r="F83" t="s">
        <v>58</v>
      </c>
      <c r="G83" t="s">
        <v>27</v>
      </c>
      <c r="H83">
        <v>8183</v>
      </c>
      <c r="I83">
        <v>5</v>
      </c>
    </row>
    <row r="84" spans="1:9" x14ac:dyDescent="0.3">
      <c r="A84" t="s">
        <v>126</v>
      </c>
      <c r="B84" s="1">
        <v>45362</v>
      </c>
      <c r="C84" t="s">
        <v>44</v>
      </c>
      <c r="D84" t="s">
        <v>45</v>
      </c>
      <c r="E84" t="s">
        <v>29</v>
      </c>
      <c r="F84" t="s">
        <v>32</v>
      </c>
      <c r="G84" t="s">
        <v>14</v>
      </c>
      <c r="H84">
        <v>8077</v>
      </c>
      <c r="I84">
        <v>7</v>
      </c>
    </row>
    <row r="85" spans="1:9" x14ac:dyDescent="0.3">
      <c r="A85" t="s">
        <v>127</v>
      </c>
      <c r="B85" s="1">
        <v>45324</v>
      </c>
      <c r="C85" t="s">
        <v>52</v>
      </c>
      <c r="D85" t="s">
        <v>53</v>
      </c>
      <c r="E85" t="s">
        <v>16</v>
      </c>
      <c r="F85" t="s">
        <v>41</v>
      </c>
      <c r="G85" t="s">
        <v>50</v>
      </c>
      <c r="H85">
        <v>13856</v>
      </c>
      <c r="I85">
        <v>6</v>
      </c>
    </row>
    <row r="86" spans="1:9" x14ac:dyDescent="0.3">
      <c r="A86" t="s">
        <v>128</v>
      </c>
      <c r="B86" s="1">
        <v>45397</v>
      </c>
      <c r="C86" t="s">
        <v>68</v>
      </c>
      <c r="D86" t="s">
        <v>69</v>
      </c>
      <c r="E86" t="s">
        <v>29</v>
      </c>
      <c r="F86" t="s">
        <v>32</v>
      </c>
      <c r="G86" t="s">
        <v>50</v>
      </c>
      <c r="H86">
        <v>13262</v>
      </c>
      <c r="I86">
        <v>10</v>
      </c>
    </row>
    <row r="87" spans="1:9" x14ac:dyDescent="0.3">
      <c r="A87" t="s">
        <v>129</v>
      </c>
      <c r="B87" s="1">
        <v>45536</v>
      </c>
      <c r="C87" t="s">
        <v>34</v>
      </c>
      <c r="D87" t="s">
        <v>35</v>
      </c>
      <c r="E87" t="s">
        <v>16</v>
      </c>
      <c r="F87" t="s">
        <v>17</v>
      </c>
      <c r="G87" t="s">
        <v>18</v>
      </c>
      <c r="H87">
        <v>12026</v>
      </c>
      <c r="I87">
        <v>5</v>
      </c>
    </row>
    <row r="88" spans="1:9" x14ac:dyDescent="0.3">
      <c r="A88" t="s">
        <v>130</v>
      </c>
      <c r="B88" s="1">
        <v>45541</v>
      </c>
      <c r="C88" t="s">
        <v>24</v>
      </c>
      <c r="D88" t="s">
        <v>25</v>
      </c>
      <c r="E88" t="s">
        <v>29</v>
      </c>
      <c r="F88" t="s">
        <v>124</v>
      </c>
      <c r="G88" t="s">
        <v>14</v>
      </c>
      <c r="H88">
        <v>9443</v>
      </c>
      <c r="I88">
        <v>7</v>
      </c>
    </row>
    <row r="89" spans="1:9" x14ac:dyDescent="0.3">
      <c r="A89" t="s">
        <v>131</v>
      </c>
      <c r="B89" s="1">
        <v>45464</v>
      </c>
      <c r="C89" t="s">
        <v>68</v>
      </c>
      <c r="D89" t="s">
        <v>69</v>
      </c>
      <c r="E89" t="s">
        <v>12</v>
      </c>
      <c r="F89" t="s">
        <v>26</v>
      </c>
      <c r="G89" t="s">
        <v>50</v>
      </c>
      <c r="H89">
        <v>24229</v>
      </c>
      <c r="I89">
        <v>3</v>
      </c>
    </row>
    <row r="90" spans="1:9" x14ac:dyDescent="0.3">
      <c r="A90" t="s">
        <v>132</v>
      </c>
      <c r="B90" s="1">
        <v>45756</v>
      </c>
      <c r="C90" t="s">
        <v>68</v>
      </c>
      <c r="D90" t="s">
        <v>69</v>
      </c>
      <c r="E90" t="s">
        <v>12</v>
      </c>
      <c r="F90" t="s">
        <v>72</v>
      </c>
      <c r="G90" t="s">
        <v>50</v>
      </c>
      <c r="H90">
        <v>19895</v>
      </c>
      <c r="I90">
        <v>10</v>
      </c>
    </row>
    <row r="91" spans="1:9" x14ac:dyDescent="0.3">
      <c r="A91" t="s">
        <v>133</v>
      </c>
      <c r="B91" s="1">
        <v>45361</v>
      </c>
      <c r="C91" t="s">
        <v>34</v>
      </c>
      <c r="D91" t="s">
        <v>35</v>
      </c>
      <c r="E91" t="s">
        <v>12</v>
      </c>
      <c r="F91" t="s">
        <v>26</v>
      </c>
      <c r="G91" t="s">
        <v>50</v>
      </c>
      <c r="H91">
        <v>6454</v>
      </c>
      <c r="I91">
        <v>1</v>
      </c>
    </row>
    <row r="92" spans="1:9" x14ac:dyDescent="0.3">
      <c r="A92" t="s">
        <v>134</v>
      </c>
      <c r="B92" s="1">
        <v>45400</v>
      </c>
      <c r="C92" t="s">
        <v>37</v>
      </c>
      <c r="D92" t="s">
        <v>38</v>
      </c>
      <c r="E92" t="s">
        <v>29</v>
      </c>
      <c r="F92" t="s">
        <v>30</v>
      </c>
      <c r="G92" t="s">
        <v>50</v>
      </c>
      <c r="H92">
        <v>11210</v>
      </c>
      <c r="I92">
        <v>6</v>
      </c>
    </row>
    <row r="93" spans="1:9" x14ac:dyDescent="0.3">
      <c r="A93" t="s">
        <v>135</v>
      </c>
      <c r="B93" s="1">
        <v>45421</v>
      </c>
      <c r="C93" t="s">
        <v>24</v>
      </c>
      <c r="D93" t="s">
        <v>25</v>
      </c>
      <c r="E93" t="s">
        <v>29</v>
      </c>
      <c r="F93" t="s">
        <v>58</v>
      </c>
      <c r="G93" t="s">
        <v>18</v>
      </c>
      <c r="H93">
        <v>15911</v>
      </c>
      <c r="I93">
        <v>1</v>
      </c>
    </row>
    <row r="94" spans="1:9" x14ac:dyDescent="0.3">
      <c r="A94" t="s">
        <v>136</v>
      </c>
      <c r="B94" s="1">
        <v>45624</v>
      </c>
      <c r="C94" t="s">
        <v>34</v>
      </c>
      <c r="D94" t="s">
        <v>35</v>
      </c>
      <c r="E94" t="s">
        <v>29</v>
      </c>
      <c r="F94" t="s">
        <v>124</v>
      </c>
      <c r="G94" t="s">
        <v>18</v>
      </c>
      <c r="H94">
        <v>21856</v>
      </c>
      <c r="I94">
        <v>1</v>
      </c>
    </row>
    <row r="95" spans="1:9" x14ac:dyDescent="0.3">
      <c r="A95" t="s">
        <v>137</v>
      </c>
      <c r="B95" s="1">
        <v>45721</v>
      </c>
      <c r="C95" t="s">
        <v>34</v>
      </c>
      <c r="D95" t="s">
        <v>35</v>
      </c>
      <c r="E95" t="s">
        <v>12</v>
      </c>
      <c r="F95" t="s">
        <v>55</v>
      </c>
      <c r="G95" t="s">
        <v>18</v>
      </c>
      <c r="H95">
        <v>20859</v>
      </c>
      <c r="I95">
        <v>3</v>
      </c>
    </row>
    <row r="96" spans="1:9" x14ac:dyDescent="0.3">
      <c r="A96" t="s">
        <v>138</v>
      </c>
      <c r="B96" s="1">
        <v>45634</v>
      </c>
      <c r="C96" t="s">
        <v>20</v>
      </c>
      <c r="D96" t="s">
        <v>21</v>
      </c>
      <c r="E96" t="s">
        <v>12</v>
      </c>
      <c r="F96" t="s">
        <v>26</v>
      </c>
      <c r="G96" t="s">
        <v>18</v>
      </c>
      <c r="H96">
        <v>18980</v>
      </c>
      <c r="I96">
        <v>4</v>
      </c>
    </row>
    <row r="97" spans="1:9" x14ac:dyDescent="0.3">
      <c r="A97" t="s">
        <v>139</v>
      </c>
      <c r="B97" s="1">
        <v>45684</v>
      </c>
      <c r="C97" t="s">
        <v>68</v>
      </c>
      <c r="D97" t="s">
        <v>69</v>
      </c>
      <c r="E97" t="s">
        <v>16</v>
      </c>
      <c r="F97" t="s">
        <v>39</v>
      </c>
      <c r="G97" t="s">
        <v>27</v>
      </c>
      <c r="H97">
        <v>5998</v>
      </c>
      <c r="I97">
        <v>10</v>
      </c>
    </row>
    <row r="98" spans="1:9" x14ac:dyDescent="0.3">
      <c r="A98" t="s">
        <v>140</v>
      </c>
      <c r="B98" s="1">
        <v>45347</v>
      </c>
      <c r="C98" t="s">
        <v>10</v>
      </c>
      <c r="D98" t="s">
        <v>11</v>
      </c>
      <c r="E98" t="s">
        <v>12</v>
      </c>
      <c r="F98" t="s">
        <v>13</v>
      </c>
      <c r="G98" t="s">
        <v>18</v>
      </c>
      <c r="H98">
        <v>10722</v>
      </c>
      <c r="I98">
        <v>10</v>
      </c>
    </row>
    <row r="99" spans="1:9" x14ac:dyDescent="0.3">
      <c r="A99" t="s">
        <v>141</v>
      </c>
      <c r="B99" s="1">
        <v>45330</v>
      </c>
      <c r="C99" t="s">
        <v>24</v>
      </c>
      <c r="D99" t="s">
        <v>25</v>
      </c>
      <c r="E99" t="s">
        <v>29</v>
      </c>
      <c r="F99" t="s">
        <v>124</v>
      </c>
      <c r="G99" t="s">
        <v>14</v>
      </c>
      <c r="H99">
        <v>3839</v>
      </c>
      <c r="I99">
        <v>5</v>
      </c>
    </row>
    <row r="100" spans="1:9" x14ac:dyDescent="0.3">
      <c r="A100" t="s">
        <v>142</v>
      </c>
      <c r="B100" s="1">
        <v>45469</v>
      </c>
      <c r="C100" t="s">
        <v>10</v>
      </c>
      <c r="D100" t="s">
        <v>11</v>
      </c>
      <c r="E100" t="s">
        <v>16</v>
      </c>
      <c r="F100" t="s">
        <v>22</v>
      </c>
      <c r="G100" t="s">
        <v>50</v>
      </c>
      <c r="H100">
        <v>22176</v>
      </c>
      <c r="I100">
        <v>6</v>
      </c>
    </row>
    <row r="101" spans="1:9" x14ac:dyDescent="0.3">
      <c r="A101" t="s">
        <v>143</v>
      </c>
      <c r="B101" s="1">
        <v>45298</v>
      </c>
      <c r="C101" t="s">
        <v>10</v>
      </c>
      <c r="D101" t="s">
        <v>11</v>
      </c>
      <c r="E101" t="s">
        <v>16</v>
      </c>
      <c r="F101" t="s">
        <v>39</v>
      </c>
      <c r="G101" t="s">
        <v>50</v>
      </c>
      <c r="H101">
        <v>16562</v>
      </c>
      <c r="I101">
        <v>2</v>
      </c>
    </row>
  </sheetData>
  <autoFilter ref="A1:I1" xr:uid="{00000000-0001-0000-0000-000000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144</v>
      </c>
      <c r="C1" t="s">
        <v>145</v>
      </c>
    </row>
    <row r="2" spans="1:3" x14ac:dyDescent="0.3">
      <c r="A2" t="s">
        <v>34</v>
      </c>
      <c r="B2" t="s">
        <v>146</v>
      </c>
      <c r="C2" t="s">
        <v>147</v>
      </c>
    </row>
    <row r="3" spans="1:3" x14ac:dyDescent="0.3">
      <c r="A3" t="s">
        <v>10</v>
      </c>
      <c r="B3" t="s">
        <v>148</v>
      </c>
      <c r="C3" t="s">
        <v>149</v>
      </c>
    </row>
    <row r="4" spans="1:3" x14ac:dyDescent="0.3">
      <c r="A4" t="s">
        <v>52</v>
      </c>
      <c r="B4" t="s">
        <v>150</v>
      </c>
      <c r="C4" t="s">
        <v>147</v>
      </c>
    </row>
    <row r="5" spans="1:3" x14ac:dyDescent="0.3">
      <c r="A5" t="s">
        <v>20</v>
      </c>
      <c r="B5" t="s">
        <v>151</v>
      </c>
      <c r="C5" t="s">
        <v>152</v>
      </c>
    </row>
    <row r="6" spans="1:3" x14ac:dyDescent="0.3">
      <c r="A6" t="s">
        <v>37</v>
      </c>
      <c r="B6" t="s">
        <v>153</v>
      </c>
      <c r="C6" t="s">
        <v>149</v>
      </c>
    </row>
    <row r="7" spans="1:3" x14ac:dyDescent="0.3">
      <c r="A7" t="s">
        <v>44</v>
      </c>
      <c r="B7" t="s">
        <v>154</v>
      </c>
      <c r="C7" t="s">
        <v>147</v>
      </c>
    </row>
    <row r="8" spans="1:3" x14ac:dyDescent="0.3">
      <c r="A8" t="s">
        <v>24</v>
      </c>
      <c r="B8" t="s">
        <v>155</v>
      </c>
      <c r="C8" t="s">
        <v>152</v>
      </c>
    </row>
    <row r="9" spans="1:3" x14ac:dyDescent="0.3">
      <c r="A9" t="s">
        <v>68</v>
      </c>
      <c r="B9" t="s">
        <v>156</v>
      </c>
      <c r="C9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Orders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NADIM JALALI</cp:lastModifiedBy>
  <dcterms:created xsi:type="dcterms:W3CDTF">2026-06-05T08:48:27Z</dcterms:created>
  <dcterms:modified xsi:type="dcterms:W3CDTF">2026-06-08T08:09:33Z</dcterms:modified>
</cp:coreProperties>
</file>